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4f3f7a974a19945/Área de Trabalho/"/>
    </mc:Choice>
  </mc:AlternateContent>
  <xr:revisionPtr revIDLastSave="0" documentId="8_{9FE7F1A9-EBDD-4333-93E0-E73713AA793A}" xr6:coauthVersionLast="47" xr6:coauthVersionMax="47" xr10:uidLastSave="{00000000-0000-0000-0000-000000000000}"/>
  <bookViews>
    <workbookView xWindow="-120" yWindow="-120" windowWidth="38640" windowHeight="21120" tabRatio="904" firstSheet="2" activeTab="2" xr2:uid="{00000000-000D-0000-FFFF-FFFF00000000}"/>
  </bookViews>
  <sheets>
    <sheet name="METAL" sheetId="1" state="hidden" r:id="rId1"/>
    <sheet name="PLÁSTICO" sheetId="3" state="hidden" r:id="rId2"/>
    <sheet name="Plan1" sheetId="18" r:id="rId3"/>
    <sheet name="PAPEL" sheetId="5" state="hidden" r:id="rId4"/>
    <sheet name="VIDRO" sheetId="7" state="hidden" r:id="rId5"/>
    <sheet name="ORGÂNICO" sheetId="11" state="hidden" r:id="rId6"/>
    <sheet name="PERIGOSO" sheetId="12" state="hidden" r:id="rId7"/>
    <sheet name="REJEITO" sheetId="13" state="hidden" r:id="rId8"/>
    <sheet name="CUSTO RSU" sheetId="9" state="hidden" r:id="rId9"/>
    <sheet name="CLASSE I" sheetId="14" state="hidden" r:id="rId10"/>
    <sheet name="CLASSE II A - Não Inerse" sheetId="15" state="hidden" r:id="rId11"/>
    <sheet name="CLASSE II B - Inerse" sheetId="16" state="hidden" r:id="rId12"/>
    <sheet name="Referências Classificação" sheetId="17" state="hidden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8" i="9" l="1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E4" i="13" l="1"/>
  <c r="F4" i="13"/>
  <c r="G4" i="13"/>
  <c r="H4" i="13"/>
  <c r="I4" i="13"/>
  <c r="J4" i="13"/>
  <c r="M4" i="13"/>
  <c r="N4" i="13"/>
  <c r="Q4" i="13"/>
  <c r="K4" i="13"/>
  <c r="L4" i="13"/>
  <c r="O4" i="13"/>
  <c r="P4" i="13"/>
  <c r="R4" i="13"/>
  <c r="S4" i="13"/>
  <c r="T4" i="13"/>
  <c r="W4" i="13"/>
  <c r="U4" i="13"/>
  <c r="V4" i="13"/>
  <c r="X4" i="13"/>
  <c r="Y4" i="13"/>
  <c r="Z4" i="13"/>
  <c r="AA4" i="13"/>
  <c r="AC4" i="13"/>
  <c r="D4" i="13"/>
  <c r="C4" i="13"/>
  <c r="AB4" i="13"/>
</calcChain>
</file>

<file path=xl/sharedStrings.xml><?xml version="1.0" encoding="utf-8"?>
<sst xmlns="http://schemas.openxmlformats.org/spreadsheetml/2006/main" count="630" uniqueCount="272">
  <si>
    <t>Preço Médio da Sucata de Metal por Estado (R$/kg)</t>
  </si>
  <si>
    <t>Tipo de Metal</t>
  </si>
  <si>
    <t>AC</t>
  </si>
  <si>
    <t>AL</t>
  </si>
  <si>
    <t>AP</t>
  </si>
  <si>
    <t>AM</t>
  </si>
  <si>
    <t>BA</t>
  </si>
  <si>
    <t>CE</t>
  </si>
  <si>
    <t>DF</t>
  </si>
  <si>
    <t>ES</t>
  </si>
  <si>
    <t>GO</t>
  </si>
  <si>
    <t>MA</t>
  </si>
  <si>
    <t>MT</t>
  </si>
  <si>
    <t>MS</t>
  </si>
  <si>
    <t>MG</t>
  </si>
  <si>
    <t>PA</t>
  </si>
  <si>
    <t>PB</t>
  </si>
  <si>
    <t>PR</t>
  </si>
  <si>
    <t>PE</t>
  </si>
  <si>
    <t>PI</t>
  </si>
  <si>
    <t>RJ</t>
  </si>
  <si>
    <t>RN</t>
  </si>
  <si>
    <t>RS</t>
  </si>
  <si>
    <t>RO</t>
  </si>
  <si>
    <t>RR</t>
  </si>
  <si>
    <t>SC</t>
  </si>
  <si>
    <t>SP</t>
  </si>
  <si>
    <t>SE</t>
  </si>
  <si>
    <t>TO</t>
  </si>
  <si>
    <t>Ferro</t>
  </si>
  <si>
    <t>Alumínio</t>
  </si>
  <si>
    <t>Cobre</t>
  </si>
  <si>
    <t>Latão</t>
  </si>
  <si>
    <t>Chumbo</t>
  </si>
  <si>
    <t>Metal Misturado</t>
  </si>
  <si>
    <t>Observações e Fontes</t>
  </si>
  <si>
    <t>Valores expressos em Reais por quilograma (R$/kg).</t>
  </si>
  <si>
    <t>Preço Médio da Sucata de Plásticos por Estado (R$/kg)</t>
  </si>
  <si>
    <t>Tipo de Plástico</t>
  </si>
  <si>
    <t>Sigla</t>
  </si>
  <si>
    <t>PET Transparente</t>
  </si>
  <si>
    <t>PET 1</t>
  </si>
  <si>
    <t>PET Colorido</t>
  </si>
  <si>
    <t>PEAD</t>
  </si>
  <si>
    <t>HDPE 2</t>
  </si>
  <si>
    <t>PEBD</t>
  </si>
  <si>
    <t>LDPE 4</t>
  </si>
  <si>
    <t>PVC</t>
  </si>
  <si>
    <t>PVC 3</t>
  </si>
  <si>
    <t>PP</t>
  </si>
  <si>
    <t>PP 5</t>
  </si>
  <si>
    <t>ABS</t>
  </si>
  <si>
    <t>ABS 7</t>
  </si>
  <si>
    <t>Plástico Misto</t>
  </si>
  <si>
    <t>OUTROS 7</t>
  </si>
  <si>
    <t>Preço Médio da Sucata de Papel por Estado (R$/kg)</t>
  </si>
  <si>
    <t>Tipo de Papel</t>
  </si>
  <si>
    <t>Papel Branco</t>
  </si>
  <si>
    <t>Jornal</t>
  </si>
  <si>
    <t>Papelão</t>
  </si>
  <si>
    <t>Arquivo Misto</t>
  </si>
  <si>
    <t>Revista</t>
  </si>
  <si>
    <t>Papel Kraft</t>
  </si>
  <si>
    <t>Cartolina</t>
  </si>
  <si>
    <t>Papel Misto</t>
  </si>
  <si>
    <t>Preço Médio da Sucata de Vidro por Estado (R$/kg)</t>
  </si>
  <si>
    <t>Tipo de Vidro</t>
  </si>
  <si>
    <t>Vidro Branco</t>
  </si>
  <si>
    <t>Vidro Verde</t>
  </si>
  <si>
    <t>Vidro Âmbar</t>
  </si>
  <si>
    <t>Vidro Temperado</t>
  </si>
  <si>
    <t>Vidro Laminado</t>
  </si>
  <si>
    <t>Cacos Mistos</t>
  </si>
  <si>
    <t>Garrafa Inteira</t>
  </si>
  <si>
    <t>Vidro Misto</t>
  </si>
  <si>
    <t>Custos Médios de RSU por Estado (R$/tonelada)</t>
  </si>
  <si>
    <t>Serviço</t>
  </si>
  <si>
    <t>Coleta</t>
  </si>
  <si>
    <t>Transporte</t>
  </si>
  <si>
    <t>Disposição em Aterro Sanitário</t>
  </si>
  <si>
    <t>Observações e Metodologia</t>
  </si>
  <si>
    <t>COR DE REFERÊNCIA</t>
  </si>
  <si>
    <t>AMARELO</t>
  </si>
  <si>
    <t>METAL:</t>
  </si>
  <si>
    <t>* Os valores são médias estimadas de mercado para 2026.</t>
  </si>
  <si>
    <t>* Os preços variam conforme qualidade, pureza, volume e região.</t>
  </si>
  <si>
    <t>* Metal Misturado refere-se à sucata metálica sem separação detalhada.</t>
  </si>
  <si>
    <t>* Valores expressos em Reais por quilograma (R$/kg).</t>
  </si>
  <si>
    <t>* Referências utilizadas: XLata, Scrap Trade, SucataFinder.</t>
  </si>
  <si>
    <t>PLÁSTICO</t>
  </si>
  <si>
    <t>VERMELHO</t>
  </si>
  <si>
    <t>PAPEL</t>
  </si>
  <si>
    <t>AZUL</t>
  </si>
  <si>
    <t>* Os valores representam médias estimadas do mercado brasileiro para 2026.</t>
  </si>
  <si>
    <t>* Os preços variam conforme qualidade, limpeza, prensagem e volume.</t>
  </si>
  <si>
    <t>* Papel Misto refere-se a papéis recicláveis sem separação específica.</t>
  </si>
  <si>
    <t>* Referências utilizadas: mercado reciclável nacional, cooperativas e plataformas de sucata.</t>
  </si>
  <si>
    <t>VÍDRO</t>
  </si>
  <si>
    <t>VERDE</t>
  </si>
  <si>
    <t>* Os valores representam estimativas médias de custos de RSU para 2026.</t>
  </si>
  <si>
    <t>* RSU = Resíduos Sólidos Urbanos.</t>
  </si>
  <si>
    <t>* Os custos são expressos em Reais por tonelada (R$/t).</t>
  </si>
  <si>
    <t>* Nos estados sem dados específicos, foram aplicadas médias nacionais ajustadas regionalmente.</t>
  </si>
  <si>
    <t>* Os valores podem variar conforme distância, densidade urbana, contratos municipais e tecnologia do aterro.</t>
  </si>
  <si>
    <t>* Referências utilizadas: SNIS, ABRELPE, contratos municipais e médias do setor de limpeza urbana.</t>
  </si>
  <si>
    <t>* Os preços variam conforme limpeza, separação por cor e volume.</t>
  </si>
  <si>
    <t>* Vidro Misto refere-se a resíduos de vidro sem separação específica.</t>
  </si>
  <si>
    <t>* Referências utilizadas: cooperativas, recicladoras e plataformas do setor reciclável.</t>
  </si>
  <si>
    <t>* Os valores representam médias estimadas de mercado para 2026.</t>
  </si>
  <si>
    <t>* Os preços variam conforme limpeza, cor, moagem e volume.</t>
  </si>
  <si>
    <t>* Plástico Misto refere-se a resíduos plásticos sem separação específica.</t>
  </si>
  <si>
    <t>* Referências utilizadas: reciclus.com.br, sucatafinder.com e mercado reciclável nacional.</t>
  </si>
  <si>
    <t>Produto</t>
  </si>
  <si>
    <t>Composto Orgânico</t>
  </si>
  <si>
    <t>ORGÂNICO</t>
  </si>
  <si>
    <t>MARROM</t>
  </si>
  <si>
    <t>Húmus</t>
  </si>
  <si>
    <t>Biofertilizante Líquido</t>
  </si>
  <si>
    <t>Observações Compostagem</t>
  </si>
  <si>
    <t>Os valores representam estimativas médias de venda do composto orgânico para 2026.</t>
  </si>
  <si>
    <t>Os preços variam conforme qualidade, maturação, peneiramento e certificação.</t>
  </si>
  <si>
    <t>Os valores foram ajustados regionalmente com base em demanda agrícola e logística.</t>
  </si>
  <si>
    <t>Referências utilizadas: compostagem urbana, cooperativas e agricultura orgânica.</t>
  </si>
  <si>
    <t>Húmus refere-se ao fertilizante orgânico produzido por vermicompostagem.</t>
  </si>
  <si>
    <t>Biofertilizante líquido refere-se ao líquido orgânico gerado durante o processo de compostagem e vermicompostagem.</t>
  </si>
  <si>
    <t>Resíduo</t>
  </si>
  <si>
    <t>Categoria</t>
  </si>
  <si>
    <t>Destino Recomendado</t>
  </si>
  <si>
    <t>Base Legal</t>
  </si>
  <si>
    <t>Pilhas</t>
  </si>
  <si>
    <t>Eletrônicos</t>
  </si>
  <si>
    <t>Logística reversa</t>
  </si>
  <si>
    <t>CONAMA 401</t>
  </si>
  <si>
    <t>Baterias</t>
  </si>
  <si>
    <t>Placas eletrônicas</t>
  </si>
  <si>
    <t>PNRS / ABNT</t>
  </si>
  <si>
    <t>Lâmpadas fluorescentes</t>
  </si>
  <si>
    <t>Perigosos</t>
  </si>
  <si>
    <t>PNRS</t>
  </si>
  <si>
    <t>Óleo lubrificante usado</t>
  </si>
  <si>
    <t>CONAMA 362</t>
  </si>
  <si>
    <t>Tintas</t>
  </si>
  <si>
    <t>Tratamento especial</t>
  </si>
  <si>
    <t>ABNT NBR 10004</t>
  </si>
  <si>
    <t>Solventes</t>
  </si>
  <si>
    <t>Resíduos hospitalares</t>
  </si>
  <si>
    <t>Saúde</t>
  </si>
  <si>
    <t>RDC ANVISA 222</t>
  </si>
  <si>
    <t>Medicamentos vencidos</t>
  </si>
  <si>
    <t>Agrotóxicos</t>
  </si>
  <si>
    <t>Agrícola</t>
  </si>
  <si>
    <t>Lei 9.974/2000</t>
  </si>
  <si>
    <t>Embalagens contaminadas</t>
  </si>
  <si>
    <t>Industrial</t>
  </si>
  <si>
    <t>Amianto</t>
  </si>
  <si>
    <t>Construção Civil</t>
  </si>
  <si>
    <t>Disposição controlada</t>
  </si>
  <si>
    <t>CONAMA</t>
  </si>
  <si>
    <t>Mercúrio</t>
  </si>
  <si>
    <t>Resíduos infectantes</t>
  </si>
  <si>
    <t>Resíduos Classe I Perigosos</t>
  </si>
  <si>
    <t xml:space="preserve"> Perigosos</t>
  </si>
  <si>
    <t>Óleo de frituras</t>
  </si>
  <si>
    <t>Classificação dos resíduos</t>
  </si>
  <si>
    <t>CLASSE I</t>
  </si>
  <si>
    <t>PERIGOSOS</t>
  </si>
  <si>
    <t>Papéis</t>
  </si>
  <si>
    <t>Reciclagem</t>
  </si>
  <si>
    <t>Restos alimentares</t>
  </si>
  <si>
    <t>Orgânicos</t>
  </si>
  <si>
    <t>Compostagem</t>
  </si>
  <si>
    <t>Poda e jardinagem</t>
  </si>
  <si>
    <t>Gesso</t>
  </si>
  <si>
    <t>Reciclagem controlada</t>
  </si>
  <si>
    <t>CONAMA 307</t>
  </si>
  <si>
    <t>Composto orgânico</t>
  </si>
  <si>
    <t>Uso agrícola</t>
  </si>
  <si>
    <t>Biofertilizante</t>
  </si>
  <si>
    <t>CLASSE II - A Não Inerse</t>
  </si>
  <si>
    <t>Não Inerse</t>
  </si>
  <si>
    <t>Papel</t>
  </si>
  <si>
    <t>Vidros</t>
  </si>
  <si>
    <t>Plásticos</t>
  </si>
  <si>
    <t>Metais</t>
  </si>
  <si>
    <t>Entulho limpo</t>
  </si>
  <si>
    <t>Inerse</t>
  </si>
  <si>
    <t xml:space="preserve">CLASSE II - B </t>
  </si>
  <si>
    <t>Plásicos PVC</t>
  </si>
  <si>
    <t>Ferrosos</t>
  </si>
  <si>
    <t>Legislações e normas brasileiras utilizadas</t>
  </si>
  <si>
    <t>Lei nº 12.305/2010 - Política Nacional de Resíduos Sólidos (PNRS)</t>
  </si>
  <si>
    <t>ABNT NBR 10004 - Classificação de resíduos sólidos</t>
  </si>
  <si>
    <t>CONAMA 307 - Resíduos da construção civil</t>
  </si>
  <si>
    <t>CONAMA 401 - Pilhas e baterias</t>
  </si>
  <si>
    <t>CONAMA 362 - Óleo lubrificante usado</t>
  </si>
  <si>
    <t>RDC ANVISA 222 - Resíduos de serviços de saúde</t>
  </si>
  <si>
    <t>Lei 9.974/2000 - Embalagens de agrotóxicos</t>
  </si>
  <si>
    <t>Resíduos classificados como Classe II A Nao Inerte</t>
  </si>
  <si>
    <t>Resíduos classificados como Classe II B Inerte</t>
  </si>
  <si>
    <t>Classe II B</t>
  </si>
  <si>
    <t xml:space="preserve">CLASSE II - A </t>
  </si>
  <si>
    <t>REJEITO</t>
  </si>
  <si>
    <t>Destinanão</t>
  </si>
  <si>
    <t>CINZA</t>
  </si>
  <si>
    <t>Aterro Sanitário - Custo RSU / por KG.</t>
  </si>
  <si>
    <t>Custo Médio REJEITO (R$/kg)</t>
  </si>
  <si>
    <t>Tipo LIXO DOMÉSTICO</t>
  </si>
  <si>
    <t>* Os custos são expressos em Reais por tonelada (R$/t). / 1000</t>
  </si>
  <si>
    <t>VALOR POR KG</t>
  </si>
  <si>
    <t>TOTAL  Custo/t</t>
  </si>
  <si>
    <t>Valores Estimados de Venda do Composto Orgânico por Estado (R$/Lt.)</t>
  </si>
  <si>
    <t>laranja</t>
  </si>
  <si>
    <t>CATEGORIA</t>
  </si>
  <si>
    <t>SUB CATEGORIA</t>
  </si>
  <si>
    <t>CLASSIFICAÇÃO</t>
  </si>
  <si>
    <t>RECICLÁVEL</t>
  </si>
  <si>
    <t>PERIGOSO</t>
  </si>
  <si>
    <r>
      <rPr>
        <b/>
        <sz val="11"/>
        <color theme="1"/>
        <rFont val="Calibri"/>
        <family val="2"/>
        <scheme val="minor"/>
      </rPr>
      <t xml:space="preserve">CLASSE  I </t>
    </r>
    <r>
      <rPr>
        <sz val="11"/>
        <color theme="1"/>
        <rFont val="Calibri"/>
        <family val="2"/>
        <scheme val="minor"/>
      </rPr>
      <t>- PERIGOSOS</t>
    </r>
  </si>
  <si>
    <r>
      <rPr>
        <b/>
        <sz val="11"/>
        <color theme="1"/>
        <rFont val="Calibri"/>
        <family val="2"/>
        <scheme val="minor"/>
      </rPr>
      <t>CLASSE II</t>
    </r>
    <r>
      <rPr>
        <sz val="11"/>
        <color theme="1"/>
        <rFont val="Calibri"/>
        <family val="2"/>
        <scheme val="minor"/>
      </rPr>
      <t xml:space="preserve"> - A (NÃO INERSE)</t>
    </r>
  </si>
  <si>
    <r>
      <rPr>
        <b/>
        <sz val="11"/>
        <color theme="1"/>
        <rFont val="Calibri"/>
        <family val="2"/>
        <scheme val="minor"/>
      </rPr>
      <t xml:space="preserve">CLASSE II </t>
    </r>
    <r>
      <rPr>
        <sz val="11"/>
        <color theme="1"/>
        <rFont val="Calibri"/>
        <family val="2"/>
        <scheme val="minor"/>
      </rPr>
      <t>- B (INERSE)</t>
    </r>
  </si>
  <si>
    <t>TIPO</t>
  </si>
  <si>
    <t>METAL</t>
  </si>
  <si>
    <t>VIDRO</t>
  </si>
  <si>
    <t>TÓXICO</t>
  </si>
  <si>
    <t>CANCERÍGENO</t>
  </si>
  <si>
    <t>CORROSIVO</t>
  </si>
  <si>
    <t>INFLAMÁVEL</t>
  </si>
  <si>
    <t>REATIVO</t>
  </si>
  <si>
    <t>PATOGÊNICO (Infectante)</t>
  </si>
  <si>
    <r>
      <rPr>
        <b/>
        <sz val="11"/>
        <color theme="1"/>
        <rFont val="Calibri"/>
        <family val="2"/>
        <scheme val="minor"/>
      </rPr>
      <t>CLASSE II</t>
    </r>
    <r>
      <rPr>
        <sz val="11"/>
        <color theme="1"/>
        <rFont val="Calibri"/>
        <family val="2"/>
        <scheme val="minor"/>
      </rPr>
      <t xml:space="preserve"> - B (INERSE)</t>
    </r>
  </si>
  <si>
    <t>A</t>
  </si>
  <si>
    <t>B</t>
  </si>
  <si>
    <t>Branco</t>
  </si>
  <si>
    <t>Kraft</t>
  </si>
  <si>
    <t>Sucata de metal</t>
  </si>
  <si>
    <t>Arquivo</t>
  </si>
  <si>
    <t>PET Transparente - Nº 1</t>
  </si>
  <si>
    <t>PET Colorido - Nº 1</t>
  </si>
  <si>
    <t>PEAD - Nº 2</t>
  </si>
  <si>
    <t>PVC - Nº 3</t>
  </si>
  <si>
    <t>PEBD - Nº 4</t>
  </si>
  <si>
    <t>PP - Nº 5</t>
  </si>
  <si>
    <t>PS - Nº 6</t>
  </si>
  <si>
    <t>ABS - Nº 7 (OUTROS)</t>
  </si>
  <si>
    <t>Misto - Nº 7 (OUTROS)</t>
  </si>
  <si>
    <t>Branco (Transparente)</t>
  </si>
  <si>
    <t>Verde</t>
  </si>
  <si>
    <t>Âmbar</t>
  </si>
  <si>
    <t>Temperado</t>
  </si>
  <si>
    <t>Laminado</t>
  </si>
  <si>
    <t>Misto</t>
  </si>
  <si>
    <t>ALIMENTOS</t>
  </si>
  <si>
    <t>PODA/CAPINA</t>
  </si>
  <si>
    <t>SERRAGEM</t>
  </si>
  <si>
    <t xml:space="preserve"> Lâmpadas fluorescentes</t>
  </si>
  <si>
    <t>Óleo lubrificante</t>
  </si>
  <si>
    <t>hospitalares</t>
  </si>
  <si>
    <t>Medicamentos</t>
  </si>
  <si>
    <t>Infectantes</t>
  </si>
  <si>
    <t>Papel higiênico</t>
  </si>
  <si>
    <t>Fraudas</t>
  </si>
  <si>
    <t>Descartáveis</t>
  </si>
  <si>
    <t>Embalagens Sujas</t>
  </si>
  <si>
    <t>Sem Reciclabilidade</t>
  </si>
  <si>
    <t>Fezes</t>
  </si>
  <si>
    <t>Entulho Limpo (Construção Civil)</t>
  </si>
  <si>
    <t>TEXTIL (LIMPO)</t>
  </si>
  <si>
    <t>Couro e porracha</t>
  </si>
  <si>
    <t>Móveis</t>
  </si>
  <si>
    <t>Madeiras</t>
  </si>
  <si>
    <t>OUTROS A</t>
  </si>
  <si>
    <t>OUTROS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</si>
</sst>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9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3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b/>
      <sz val="13"/>
      <name val="Calibri"/>
      <family val="2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6E59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8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44" fontId="0" fillId="0" borderId="0" xfId="0" applyNumberForma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7" fillId="0" borderId="0" xfId="0" applyFont="1"/>
    <xf numFmtId="44" fontId="2" fillId="0" borderId="0" xfId="0" applyNumberFormat="1" applyFont="1"/>
    <xf numFmtId="0" fontId="6" fillId="8" borderId="0" xfId="0" applyFont="1" applyFill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44" fontId="9" fillId="0" borderId="0" xfId="0" applyNumberFormat="1" applyFont="1"/>
    <xf numFmtId="0" fontId="10" fillId="0" borderId="0" xfId="0" applyFont="1"/>
    <xf numFmtId="0" fontId="5" fillId="0" borderId="0" xfId="0" applyFont="1" applyAlignment="1">
      <alignment horizontal="center" vertical="center"/>
    </xf>
    <xf numFmtId="0" fontId="11" fillId="9" borderId="0" xfId="0" applyFont="1" applyFill="1" applyAlignment="1">
      <alignment horizontal="left" vertical="center"/>
    </xf>
    <xf numFmtId="0" fontId="12" fillId="10" borderId="0" xfId="0" applyFont="1" applyFill="1"/>
    <xf numFmtId="0" fontId="13" fillId="0" borderId="0" xfId="0" applyFont="1" applyAlignment="1">
      <alignment horizontal="center" vertical="center"/>
    </xf>
    <xf numFmtId="0" fontId="14" fillId="9" borderId="0" xfId="0" applyFont="1" applyFill="1" applyAlignment="1">
      <alignment horizontal="left" vertical="center"/>
    </xf>
    <xf numFmtId="0" fontId="15" fillId="9" borderId="0" xfId="0" applyFont="1" applyFill="1"/>
    <xf numFmtId="0" fontId="16" fillId="11" borderId="0" xfId="0" applyFont="1" applyFill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44" fontId="17" fillId="0" borderId="0" xfId="0" applyNumberFormat="1" applyFo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9" fillId="0" borderId="0" xfId="0" applyFont="1"/>
    <xf numFmtId="0" fontId="0" fillId="2" borderId="0" xfId="0" applyFill="1"/>
    <xf numFmtId="0" fontId="18" fillId="0" borderId="0" xfId="0" applyFont="1"/>
    <xf numFmtId="0" fontId="0" fillId="13" borderId="0" xfId="0" applyFill="1"/>
    <xf numFmtId="0" fontId="0" fillId="7" borderId="0" xfId="0" applyFill="1"/>
    <xf numFmtId="0" fontId="0" fillId="12" borderId="0" xfId="0" applyFill="1"/>
    <xf numFmtId="0" fontId="4" fillId="1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15" borderId="0" xfId="0" applyFill="1"/>
    <xf numFmtId="0" fontId="0" fillId="16" borderId="0" xfId="0" applyFill="1"/>
    <xf numFmtId="0" fontId="0" fillId="5" borderId="0" xfId="0" applyFill="1"/>
    <xf numFmtId="0" fontId="0" fillId="17" borderId="0" xfId="0" applyFill="1"/>
    <xf numFmtId="0" fontId="0" fillId="5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8" borderId="0" xfId="0" applyFill="1"/>
    <xf numFmtId="0" fontId="0" fillId="18" borderId="3" xfId="0" applyFill="1" applyBorder="1"/>
    <xf numFmtId="0" fontId="0" fillId="15" borderId="3" xfId="0" applyFill="1" applyBorder="1"/>
    <xf numFmtId="0" fontId="0" fillId="12" borderId="3" xfId="0" applyFill="1" applyBorder="1"/>
    <xf numFmtId="0" fontId="0" fillId="13" borderId="3" xfId="0" applyFill="1" applyBorder="1"/>
    <xf numFmtId="0" fontId="4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6E59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4</xdr:row>
      <xdr:rowOff>0</xdr:rowOff>
    </xdr:from>
    <xdr:to>
      <xdr:col>4</xdr:col>
      <xdr:colOff>247650</xdr:colOff>
      <xdr:row>10</xdr:row>
      <xdr:rowOff>57150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 rot="16200000">
          <a:off x="1971675" y="1647825"/>
          <a:ext cx="1200150" cy="1905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PAPEL</a:t>
          </a:r>
        </a:p>
      </xdr:txBody>
    </xdr:sp>
    <xdr:clientData/>
  </xdr:twoCellAnchor>
  <xdr:twoCellAnchor>
    <xdr:from>
      <xdr:col>4</xdr:col>
      <xdr:colOff>85725</xdr:colOff>
      <xdr:row>11</xdr:row>
      <xdr:rowOff>47625</xdr:rowOff>
    </xdr:from>
    <xdr:to>
      <xdr:col>4</xdr:col>
      <xdr:colOff>266700</xdr:colOff>
      <xdr:row>16</xdr:row>
      <xdr:rowOff>142875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 rot="16200000">
          <a:off x="2071688" y="2957512"/>
          <a:ext cx="1047750" cy="1809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METAL</a:t>
          </a:r>
        </a:p>
      </xdr:txBody>
    </xdr:sp>
    <xdr:clientData/>
  </xdr:twoCellAnchor>
  <xdr:twoCellAnchor>
    <xdr:from>
      <xdr:col>4</xdr:col>
      <xdr:colOff>66675</xdr:colOff>
      <xdr:row>18</xdr:row>
      <xdr:rowOff>57150</xdr:rowOff>
    </xdr:from>
    <xdr:to>
      <xdr:col>4</xdr:col>
      <xdr:colOff>257175</xdr:colOff>
      <xdr:row>24</xdr:row>
      <xdr:rowOff>114300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 rot="16200000">
          <a:off x="1981200" y="4371975"/>
          <a:ext cx="1200150" cy="1905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PLÁSTICO</a:t>
          </a:r>
        </a:p>
      </xdr:txBody>
    </xdr:sp>
    <xdr:clientData/>
  </xdr:twoCellAnchor>
  <xdr:twoCellAnchor>
    <xdr:from>
      <xdr:col>4</xdr:col>
      <xdr:colOff>76199</xdr:colOff>
      <xdr:row>27</xdr:row>
      <xdr:rowOff>95251</xdr:rowOff>
    </xdr:from>
    <xdr:to>
      <xdr:col>4</xdr:col>
      <xdr:colOff>257174</xdr:colOff>
      <xdr:row>33</xdr:row>
      <xdr:rowOff>1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 rot="16200000">
          <a:off x="2062162" y="6053138"/>
          <a:ext cx="1047750" cy="1809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VIDRO</a:t>
          </a:r>
        </a:p>
      </xdr:txBody>
    </xdr:sp>
    <xdr:clientData/>
  </xdr:twoCellAnchor>
  <xdr:twoCellAnchor>
    <xdr:from>
      <xdr:col>4</xdr:col>
      <xdr:colOff>66680</xdr:colOff>
      <xdr:row>34</xdr:row>
      <xdr:rowOff>1</xdr:rowOff>
    </xdr:from>
    <xdr:to>
      <xdr:col>4</xdr:col>
      <xdr:colOff>295278</xdr:colOff>
      <xdr:row>37</xdr:row>
      <xdr:rowOff>76203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 rot="16200000">
          <a:off x="1962153" y="6686553"/>
          <a:ext cx="647702" cy="22859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ORGÂN.</a:t>
          </a:r>
        </a:p>
      </xdr:txBody>
    </xdr:sp>
    <xdr:clientData/>
  </xdr:twoCellAnchor>
  <xdr:twoCellAnchor>
    <xdr:from>
      <xdr:col>3</xdr:col>
      <xdr:colOff>95252</xdr:colOff>
      <xdr:row>40</xdr:row>
      <xdr:rowOff>152401</xdr:rowOff>
    </xdr:from>
    <xdr:to>
      <xdr:col>3</xdr:col>
      <xdr:colOff>276227</xdr:colOff>
      <xdr:row>46</xdr:row>
      <xdr:rowOff>57151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 rot="16200000">
          <a:off x="1433515" y="8205788"/>
          <a:ext cx="1047750" cy="1809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PERIGOSO</a:t>
          </a:r>
        </a:p>
      </xdr:txBody>
    </xdr:sp>
    <xdr:clientData/>
  </xdr:twoCellAnchor>
  <xdr:twoCellAnchor>
    <xdr:from>
      <xdr:col>4</xdr:col>
      <xdr:colOff>47627</xdr:colOff>
      <xdr:row>52</xdr:row>
      <xdr:rowOff>76201</xdr:rowOff>
    </xdr:from>
    <xdr:to>
      <xdr:col>4</xdr:col>
      <xdr:colOff>228602</xdr:colOff>
      <xdr:row>57</xdr:row>
      <xdr:rowOff>171451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 rot="16200000">
          <a:off x="2033590" y="10796588"/>
          <a:ext cx="1047750" cy="1809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REJEITO</a:t>
          </a:r>
        </a:p>
      </xdr:txBody>
    </xdr:sp>
    <xdr:clientData/>
  </xdr:twoCellAnchor>
  <xdr:twoCellAnchor>
    <xdr:from>
      <xdr:col>3</xdr:col>
      <xdr:colOff>95252</xdr:colOff>
      <xdr:row>58</xdr:row>
      <xdr:rowOff>28577</xdr:rowOff>
    </xdr:from>
    <xdr:to>
      <xdr:col>3</xdr:col>
      <xdr:colOff>276227</xdr:colOff>
      <xdr:row>63</xdr:row>
      <xdr:rowOff>123827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 rot="16200000">
          <a:off x="1747840" y="11891964"/>
          <a:ext cx="1047750" cy="1809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RECICLÁVEL</a:t>
          </a:r>
        </a:p>
      </xdr:txBody>
    </xdr:sp>
    <xdr:clientData/>
  </xdr:twoCellAnchor>
  <xdr:twoCellAnchor>
    <xdr:from>
      <xdr:col>3</xdr:col>
      <xdr:colOff>85727</xdr:colOff>
      <xdr:row>17</xdr:row>
      <xdr:rowOff>85727</xdr:rowOff>
    </xdr:from>
    <xdr:to>
      <xdr:col>3</xdr:col>
      <xdr:colOff>266702</xdr:colOff>
      <xdr:row>22</xdr:row>
      <xdr:rowOff>180977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 rot="16200000">
          <a:off x="1738315" y="4138614"/>
          <a:ext cx="1047750" cy="1809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RECICLÁVEL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4"/>
  <sheetViews>
    <sheetView workbookViewId="0">
      <selection activeCell="A4" sqref="A4:A9"/>
    </sheetView>
  </sheetViews>
  <sheetFormatPr defaultRowHeight="15" x14ac:dyDescent="0.25"/>
  <cols>
    <col min="1" max="1" width="26.28515625" customWidth="1"/>
    <col min="2" max="28" width="16.7109375" customWidth="1"/>
  </cols>
  <sheetData>
    <row r="1" spans="1:28" ht="30" customHeight="1" x14ac:dyDescent="0.25">
      <c r="A1" s="61" t="s">
        <v>0</v>
      </c>
      <c r="B1" s="61"/>
      <c r="C1" s="61"/>
      <c r="D1" s="61"/>
    </row>
    <row r="2" spans="1:28" ht="18.75" x14ac:dyDescent="0.25">
      <c r="A2" s="28" t="s">
        <v>199</v>
      </c>
    </row>
    <row r="3" spans="1:28" ht="24" customHeight="1" x14ac:dyDescent="0.25">
      <c r="A3" s="7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</row>
    <row r="4" spans="1:28" x14ac:dyDescent="0.25">
      <c r="A4" s="1" t="s">
        <v>29</v>
      </c>
      <c r="B4" s="4">
        <v>0.59</v>
      </c>
      <c r="C4" s="4">
        <v>0.62</v>
      </c>
      <c r="D4" s="4">
        <v>0.59</v>
      </c>
      <c r="E4" s="4">
        <v>0.6</v>
      </c>
      <c r="F4" s="4">
        <v>0.64</v>
      </c>
      <c r="G4" s="4">
        <v>0.62</v>
      </c>
      <c r="H4" s="4">
        <v>0.67</v>
      </c>
      <c r="I4" s="4">
        <v>0.68</v>
      </c>
      <c r="J4" s="4">
        <v>0.66</v>
      </c>
      <c r="K4" s="4">
        <v>0.6</v>
      </c>
      <c r="L4" s="4">
        <v>0.62</v>
      </c>
      <c r="M4" s="4">
        <v>0.63</v>
      </c>
      <c r="N4" s="4">
        <v>0.7</v>
      </c>
      <c r="O4" s="4">
        <v>0.62</v>
      </c>
      <c r="P4" s="4">
        <v>0.61</v>
      </c>
      <c r="Q4" s="4">
        <v>0.69</v>
      </c>
      <c r="R4" s="4">
        <v>0.63</v>
      </c>
      <c r="S4" s="4">
        <v>0.59</v>
      </c>
      <c r="T4" s="4">
        <v>0.72</v>
      </c>
      <c r="U4" s="4">
        <v>0.6</v>
      </c>
      <c r="V4" s="4">
        <v>0.68</v>
      </c>
      <c r="W4" s="4">
        <v>0.6</v>
      </c>
      <c r="X4" s="4">
        <v>0.59</v>
      </c>
      <c r="Y4" s="4">
        <v>0.7</v>
      </c>
      <c r="Z4" s="4">
        <v>0.73</v>
      </c>
      <c r="AA4" s="4">
        <v>0.62</v>
      </c>
      <c r="AB4" s="4">
        <v>0.61</v>
      </c>
    </row>
    <row r="5" spans="1:28" x14ac:dyDescent="0.25">
      <c r="A5" s="1" t="s">
        <v>30</v>
      </c>
      <c r="B5" s="4">
        <v>6.55</v>
      </c>
      <c r="C5" s="4">
        <v>6.84</v>
      </c>
      <c r="D5" s="4">
        <v>6.48</v>
      </c>
      <c r="E5" s="4">
        <v>6.7</v>
      </c>
      <c r="F5" s="4">
        <v>7.06</v>
      </c>
      <c r="G5" s="4">
        <v>6.91</v>
      </c>
      <c r="H5" s="4">
        <v>7.42</v>
      </c>
      <c r="I5" s="4">
        <v>7.49</v>
      </c>
      <c r="J5" s="4">
        <v>7.27</v>
      </c>
      <c r="K5" s="4">
        <v>6.62</v>
      </c>
      <c r="L5" s="4">
        <v>6.91</v>
      </c>
      <c r="M5" s="4">
        <v>6.98</v>
      </c>
      <c r="N5" s="4">
        <v>7.78</v>
      </c>
      <c r="O5" s="4">
        <v>6.84</v>
      </c>
      <c r="P5" s="4">
        <v>6.77</v>
      </c>
      <c r="Q5" s="4">
        <v>7.63</v>
      </c>
      <c r="R5" s="4">
        <v>6.98</v>
      </c>
      <c r="S5" s="4">
        <v>6.55</v>
      </c>
      <c r="T5" s="4">
        <v>7.92</v>
      </c>
      <c r="U5" s="4">
        <v>6.7</v>
      </c>
      <c r="V5" s="4">
        <v>7.56</v>
      </c>
      <c r="W5" s="4">
        <v>6.62</v>
      </c>
      <c r="X5" s="4">
        <v>6.48</v>
      </c>
      <c r="Y5" s="4">
        <v>7.7</v>
      </c>
      <c r="Z5" s="4">
        <v>8.06</v>
      </c>
      <c r="AA5" s="4">
        <v>6.84</v>
      </c>
      <c r="AB5" s="4">
        <v>6.77</v>
      </c>
    </row>
    <row r="6" spans="1:28" x14ac:dyDescent="0.25">
      <c r="A6" s="1" t="s">
        <v>31</v>
      </c>
      <c r="B6" s="4">
        <v>34.58</v>
      </c>
      <c r="C6" s="4">
        <v>36.1</v>
      </c>
      <c r="D6" s="4">
        <v>34.200000000000003</v>
      </c>
      <c r="E6" s="4">
        <v>35.340000000000003</v>
      </c>
      <c r="F6" s="4">
        <v>37.24</v>
      </c>
      <c r="G6" s="4">
        <v>36.479999999999997</v>
      </c>
      <c r="H6" s="4">
        <v>39.14</v>
      </c>
      <c r="I6" s="4">
        <v>39.520000000000003</v>
      </c>
      <c r="J6" s="4">
        <v>38.380000000000003</v>
      </c>
      <c r="K6" s="4">
        <v>34.96</v>
      </c>
      <c r="L6" s="4">
        <v>36.479999999999997</v>
      </c>
      <c r="M6" s="4">
        <v>36.86</v>
      </c>
      <c r="N6" s="4">
        <v>41.04</v>
      </c>
      <c r="O6" s="4">
        <v>36.1</v>
      </c>
      <c r="P6" s="4">
        <v>35.72</v>
      </c>
      <c r="Q6" s="4">
        <v>40.28</v>
      </c>
      <c r="R6" s="4">
        <v>36.86</v>
      </c>
      <c r="S6" s="4">
        <v>34.58</v>
      </c>
      <c r="T6" s="4">
        <v>41.8</v>
      </c>
      <c r="U6" s="4">
        <v>35.340000000000003</v>
      </c>
      <c r="V6" s="4">
        <v>39.9</v>
      </c>
      <c r="W6" s="4">
        <v>34.96</v>
      </c>
      <c r="X6" s="4">
        <v>34.200000000000003</v>
      </c>
      <c r="Y6" s="4">
        <v>40.659999999999997</v>
      </c>
      <c r="Z6" s="4">
        <v>42.56</v>
      </c>
      <c r="AA6" s="4">
        <v>36.1</v>
      </c>
      <c r="AB6" s="4">
        <v>35.72</v>
      </c>
    </row>
    <row r="7" spans="1:28" x14ac:dyDescent="0.25">
      <c r="A7" s="1" t="s">
        <v>32</v>
      </c>
      <c r="B7" s="4">
        <v>25.94</v>
      </c>
      <c r="C7" s="4">
        <v>27.07</v>
      </c>
      <c r="D7" s="4">
        <v>25.65</v>
      </c>
      <c r="E7" s="4">
        <v>26.51</v>
      </c>
      <c r="F7" s="4">
        <v>27.93</v>
      </c>
      <c r="G7" s="4">
        <v>27.36</v>
      </c>
      <c r="H7" s="4">
        <v>29.36</v>
      </c>
      <c r="I7" s="4">
        <v>29.64</v>
      </c>
      <c r="J7" s="4">
        <v>28.79</v>
      </c>
      <c r="K7" s="4">
        <v>26.22</v>
      </c>
      <c r="L7" s="4">
        <v>27.36</v>
      </c>
      <c r="M7" s="4">
        <v>27.64</v>
      </c>
      <c r="N7" s="4">
        <v>30.78</v>
      </c>
      <c r="O7" s="4">
        <v>27.07</v>
      </c>
      <c r="P7" s="4">
        <v>26.79</v>
      </c>
      <c r="Q7" s="4">
        <v>30.21</v>
      </c>
      <c r="R7" s="4">
        <v>27.64</v>
      </c>
      <c r="S7" s="4">
        <v>25.94</v>
      </c>
      <c r="T7" s="4">
        <v>31.35</v>
      </c>
      <c r="U7" s="4">
        <v>26.51</v>
      </c>
      <c r="V7" s="4">
        <v>29.93</v>
      </c>
      <c r="W7" s="4">
        <v>26.22</v>
      </c>
      <c r="X7" s="4">
        <v>25.65</v>
      </c>
      <c r="Y7" s="4">
        <v>30.5</v>
      </c>
      <c r="Z7" s="4">
        <v>31.92</v>
      </c>
      <c r="AA7" s="4">
        <v>27.07</v>
      </c>
      <c r="AB7" s="4">
        <v>26.79</v>
      </c>
    </row>
    <row r="8" spans="1:28" x14ac:dyDescent="0.25">
      <c r="A8" s="1" t="s">
        <v>33</v>
      </c>
      <c r="B8" s="4">
        <v>5</v>
      </c>
      <c r="C8" s="4">
        <v>5.22</v>
      </c>
      <c r="D8" s="4">
        <v>4.95</v>
      </c>
      <c r="E8" s="4">
        <v>5.12</v>
      </c>
      <c r="F8" s="4">
        <v>5.39</v>
      </c>
      <c r="G8" s="4">
        <v>5.28</v>
      </c>
      <c r="H8" s="4">
        <v>5.67</v>
      </c>
      <c r="I8" s="4">
        <v>5.72</v>
      </c>
      <c r="J8" s="4">
        <v>5.55</v>
      </c>
      <c r="K8" s="4">
        <v>5.0599999999999996</v>
      </c>
      <c r="L8" s="4">
        <v>5.28</v>
      </c>
      <c r="M8" s="4">
        <v>5.33</v>
      </c>
      <c r="N8" s="4">
        <v>5.94</v>
      </c>
      <c r="O8" s="4">
        <v>5.22</v>
      </c>
      <c r="P8" s="4">
        <v>5.17</v>
      </c>
      <c r="Q8" s="4">
        <v>5.83</v>
      </c>
      <c r="R8" s="4">
        <v>5.33</v>
      </c>
      <c r="S8" s="4">
        <v>5</v>
      </c>
      <c r="T8" s="4">
        <v>6.05</v>
      </c>
      <c r="U8" s="4">
        <v>5.12</v>
      </c>
      <c r="V8" s="4">
        <v>5.78</v>
      </c>
      <c r="W8" s="4">
        <v>5.0599999999999996</v>
      </c>
      <c r="X8" s="4">
        <v>4.95</v>
      </c>
      <c r="Y8" s="4">
        <v>5.89</v>
      </c>
      <c r="Z8" s="4">
        <v>6.16</v>
      </c>
      <c r="AA8" s="4">
        <v>5.22</v>
      </c>
      <c r="AB8" s="4">
        <v>5.17</v>
      </c>
    </row>
    <row r="9" spans="1:28" x14ac:dyDescent="0.25">
      <c r="A9" s="1" t="s">
        <v>34</v>
      </c>
      <c r="B9" s="4">
        <v>2.5499999999999998</v>
      </c>
      <c r="C9" s="4">
        <v>2.66</v>
      </c>
      <c r="D9" s="4">
        <v>2.52</v>
      </c>
      <c r="E9" s="4">
        <v>2.6</v>
      </c>
      <c r="F9" s="4">
        <v>2.74</v>
      </c>
      <c r="G9" s="4">
        <v>2.69</v>
      </c>
      <c r="H9" s="4">
        <v>2.88</v>
      </c>
      <c r="I9" s="4">
        <v>2.91</v>
      </c>
      <c r="J9" s="4">
        <v>2.83</v>
      </c>
      <c r="K9" s="4">
        <v>2.58</v>
      </c>
      <c r="L9" s="4">
        <v>2.69</v>
      </c>
      <c r="M9" s="4">
        <v>2.72</v>
      </c>
      <c r="N9" s="4">
        <v>3.02</v>
      </c>
      <c r="O9" s="4">
        <v>2.66</v>
      </c>
      <c r="P9" s="4">
        <v>2.63</v>
      </c>
      <c r="Q9" s="4">
        <v>2.97</v>
      </c>
      <c r="R9" s="4">
        <v>2.72</v>
      </c>
      <c r="S9" s="4">
        <v>2.5499999999999998</v>
      </c>
      <c r="T9" s="4">
        <v>3.08</v>
      </c>
      <c r="U9" s="4">
        <v>2.6</v>
      </c>
      <c r="V9" s="4">
        <v>2.94</v>
      </c>
      <c r="W9" s="4">
        <v>2.58</v>
      </c>
      <c r="X9" s="4">
        <v>2.52</v>
      </c>
      <c r="Y9" s="4">
        <v>3</v>
      </c>
      <c r="Z9" s="4">
        <v>3.14</v>
      </c>
      <c r="AA9" s="4">
        <v>2.66</v>
      </c>
      <c r="AB9" s="4">
        <v>2.63</v>
      </c>
    </row>
    <row r="13" spans="1:28" ht="30" customHeight="1" x14ac:dyDescent="0.25">
      <c r="A13" s="33" t="s">
        <v>81</v>
      </c>
      <c r="B13" s="34" t="s">
        <v>83</v>
      </c>
      <c r="C13" s="6" t="s">
        <v>82</v>
      </c>
    </row>
    <row r="18" spans="1:1" ht="17.25" x14ac:dyDescent="0.3">
      <c r="A18" s="2" t="s">
        <v>35</v>
      </c>
    </row>
    <row r="20" spans="1:1" x14ac:dyDescent="0.25">
      <c r="A20" t="s">
        <v>84</v>
      </c>
    </row>
    <row r="21" spans="1:1" x14ac:dyDescent="0.25">
      <c r="A21" t="s">
        <v>85</v>
      </c>
    </row>
    <row r="22" spans="1:1" x14ac:dyDescent="0.25">
      <c r="A22" t="s">
        <v>86</v>
      </c>
    </row>
    <row r="23" spans="1:1" x14ac:dyDescent="0.25">
      <c r="A23" t="s">
        <v>87</v>
      </c>
    </row>
    <row r="24" spans="1:1" x14ac:dyDescent="0.25">
      <c r="A24" t="s">
        <v>88</v>
      </c>
    </row>
  </sheetData>
  <mergeCells count="1">
    <mergeCell ref="A1:D1"/>
  </mergeCells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6"/>
  <sheetViews>
    <sheetView workbookViewId="0">
      <selection activeCell="E15" sqref="E15"/>
    </sheetView>
  </sheetViews>
  <sheetFormatPr defaultRowHeight="15" x14ac:dyDescent="0.25"/>
  <cols>
    <col min="1" max="1" width="26.42578125" customWidth="1"/>
    <col min="2" max="29" width="16.7109375" customWidth="1"/>
  </cols>
  <sheetData>
    <row r="1" spans="1:29" ht="30" customHeight="1" x14ac:dyDescent="0.25">
      <c r="A1" s="61" t="s">
        <v>37</v>
      </c>
      <c r="B1" s="61"/>
      <c r="C1" s="61"/>
      <c r="D1" s="61"/>
    </row>
    <row r="2" spans="1:29" ht="18.75" x14ac:dyDescent="0.25">
      <c r="A2" s="28" t="s">
        <v>199</v>
      </c>
    </row>
    <row r="3" spans="1:29" ht="22.5" customHeight="1" x14ac:dyDescent="0.25">
      <c r="A3" s="7" t="s">
        <v>38</v>
      </c>
      <c r="B3" s="3" t="s">
        <v>39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</row>
    <row r="4" spans="1:29" x14ac:dyDescent="0.25">
      <c r="A4" s="1" t="s">
        <v>40</v>
      </c>
      <c r="B4" s="5" t="s">
        <v>41</v>
      </c>
      <c r="C4" s="8">
        <v>3.46</v>
      </c>
      <c r="D4" s="8">
        <v>3.61</v>
      </c>
      <c r="E4" s="8">
        <v>3.42</v>
      </c>
      <c r="F4" s="8">
        <v>3.53</v>
      </c>
      <c r="G4" s="8">
        <v>3.72</v>
      </c>
      <c r="H4" s="8">
        <v>3.65</v>
      </c>
      <c r="I4" s="8">
        <v>3.91</v>
      </c>
      <c r="J4" s="8">
        <v>3.95</v>
      </c>
      <c r="K4" s="8">
        <v>3.84</v>
      </c>
      <c r="L4" s="8">
        <v>3.5</v>
      </c>
      <c r="M4" s="8">
        <v>3.65</v>
      </c>
      <c r="N4" s="8">
        <v>3.69</v>
      </c>
      <c r="O4" s="8">
        <v>4.0999999999999996</v>
      </c>
      <c r="P4" s="8">
        <v>3.61</v>
      </c>
      <c r="Q4" s="8">
        <v>3.57</v>
      </c>
      <c r="R4" s="8">
        <v>4.03</v>
      </c>
      <c r="S4" s="8">
        <v>3.69</v>
      </c>
      <c r="T4" s="8">
        <v>3.46</v>
      </c>
      <c r="U4" s="8">
        <v>4.18</v>
      </c>
      <c r="V4" s="8">
        <v>3.53</v>
      </c>
      <c r="W4" s="8">
        <v>3.99</v>
      </c>
      <c r="X4" s="8">
        <v>3.5</v>
      </c>
      <c r="Y4" s="8">
        <v>3.42</v>
      </c>
      <c r="Z4" s="8">
        <v>4.07</v>
      </c>
      <c r="AA4" s="8">
        <v>4.26</v>
      </c>
      <c r="AB4" s="8">
        <v>3.61</v>
      </c>
      <c r="AC4" s="8">
        <v>3.57</v>
      </c>
    </row>
    <row r="5" spans="1:29" x14ac:dyDescent="0.25">
      <c r="A5" s="1" t="s">
        <v>42</v>
      </c>
      <c r="B5" s="5" t="s">
        <v>41</v>
      </c>
      <c r="C5" s="8">
        <v>2.64</v>
      </c>
      <c r="D5" s="8">
        <v>2.75</v>
      </c>
      <c r="E5" s="8">
        <v>2.61</v>
      </c>
      <c r="F5" s="8">
        <v>2.7</v>
      </c>
      <c r="G5" s="8">
        <v>2.84</v>
      </c>
      <c r="H5" s="8">
        <v>2.78</v>
      </c>
      <c r="I5" s="8">
        <v>2.99</v>
      </c>
      <c r="J5" s="8">
        <v>3.02</v>
      </c>
      <c r="K5" s="8">
        <v>2.93</v>
      </c>
      <c r="L5" s="8">
        <v>2.67</v>
      </c>
      <c r="M5" s="8">
        <v>2.78</v>
      </c>
      <c r="N5" s="8">
        <v>2.81</v>
      </c>
      <c r="O5" s="8">
        <v>3.13</v>
      </c>
      <c r="P5" s="8">
        <v>2.75</v>
      </c>
      <c r="Q5" s="8">
        <v>2.73</v>
      </c>
      <c r="R5" s="8">
        <v>3.07</v>
      </c>
      <c r="S5" s="8">
        <v>2.81</v>
      </c>
      <c r="T5" s="8">
        <v>2.64</v>
      </c>
      <c r="U5" s="8">
        <v>3.19</v>
      </c>
      <c r="V5" s="8">
        <v>2.7</v>
      </c>
      <c r="W5" s="8">
        <v>3.04</v>
      </c>
      <c r="X5" s="8">
        <v>2.67</v>
      </c>
      <c r="Y5" s="8">
        <v>2.61</v>
      </c>
      <c r="Z5" s="8">
        <v>3.1</v>
      </c>
      <c r="AA5" s="8">
        <v>3.25</v>
      </c>
      <c r="AB5" s="8">
        <v>2.75</v>
      </c>
      <c r="AC5" s="8">
        <v>2.73</v>
      </c>
    </row>
    <row r="6" spans="1:29" x14ac:dyDescent="0.25">
      <c r="A6" s="1" t="s">
        <v>43</v>
      </c>
      <c r="B6" s="5" t="s">
        <v>44</v>
      </c>
      <c r="C6" s="8">
        <v>3.82</v>
      </c>
      <c r="D6" s="8">
        <v>3.99</v>
      </c>
      <c r="E6" s="8">
        <v>3.78</v>
      </c>
      <c r="F6" s="8">
        <v>3.91</v>
      </c>
      <c r="G6" s="8">
        <v>4.12</v>
      </c>
      <c r="H6" s="8">
        <v>4.03</v>
      </c>
      <c r="I6" s="8">
        <v>4.33</v>
      </c>
      <c r="J6" s="8">
        <v>4.37</v>
      </c>
      <c r="K6" s="8">
        <v>4.24</v>
      </c>
      <c r="L6" s="8">
        <v>3.86</v>
      </c>
      <c r="M6" s="8">
        <v>4.03</v>
      </c>
      <c r="N6" s="8">
        <v>4.07</v>
      </c>
      <c r="O6" s="8">
        <v>4.54</v>
      </c>
      <c r="P6" s="8">
        <v>3.99</v>
      </c>
      <c r="Q6" s="8">
        <v>3.95</v>
      </c>
      <c r="R6" s="8">
        <v>4.45</v>
      </c>
      <c r="S6" s="8">
        <v>4.07</v>
      </c>
      <c r="T6" s="8">
        <v>3.82</v>
      </c>
      <c r="U6" s="8">
        <v>4.62</v>
      </c>
      <c r="V6" s="8">
        <v>3.91</v>
      </c>
      <c r="W6" s="8">
        <v>4.41</v>
      </c>
      <c r="X6" s="8">
        <v>3.86</v>
      </c>
      <c r="Y6" s="8">
        <v>3.78</v>
      </c>
      <c r="Z6" s="8">
        <v>4.49</v>
      </c>
      <c r="AA6" s="8">
        <v>4.7</v>
      </c>
      <c r="AB6" s="8">
        <v>3.99</v>
      </c>
      <c r="AC6" s="8">
        <v>3.95</v>
      </c>
    </row>
    <row r="7" spans="1:29" x14ac:dyDescent="0.25">
      <c r="A7" s="1" t="s">
        <v>45</v>
      </c>
      <c r="B7" s="5" t="s">
        <v>46</v>
      </c>
      <c r="C7" s="8">
        <v>2.46</v>
      </c>
      <c r="D7" s="8">
        <v>2.56</v>
      </c>
      <c r="E7" s="8">
        <v>2.4300000000000002</v>
      </c>
      <c r="F7" s="8">
        <v>2.5099999999999998</v>
      </c>
      <c r="G7" s="8">
        <v>2.65</v>
      </c>
      <c r="H7" s="8">
        <v>2.59</v>
      </c>
      <c r="I7" s="8">
        <v>2.78</v>
      </c>
      <c r="J7" s="8">
        <v>2.81</v>
      </c>
      <c r="K7" s="8">
        <v>2.73</v>
      </c>
      <c r="L7" s="8">
        <v>2.48</v>
      </c>
      <c r="M7" s="8">
        <v>2.59</v>
      </c>
      <c r="N7" s="8">
        <v>2.62</v>
      </c>
      <c r="O7" s="8">
        <v>2.92</v>
      </c>
      <c r="P7" s="8">
        <v>2.56</v>
      </c>
      <c r="Q7" s="8">
        <v>2.54</v>
      </c>
      <c r="R7" s="8">
        <v>2.86</v>
      </c>
      <c r="S7" s="8">
        <v>2.62</v>
      </c>
      <c r="T7" s="8">
        <v>2.46</v>
      </c>
      <c r="U7" s="8">
        <v>2.97</v>
      </c>
      <c r="V7" s="8">
        <v>2.5099999999999998</v>
      </c>
      <c r="W7" s="8">
        <v>2.84</v>
      </c>
      <c r="X7" s="8">
        <v>2.48</v>
      </c>
      <c r="Y7" s="8">
        <v>2.4300000000000002</v>
      </c>
      <c r="Z7" s="8">
        <v>2.89</v>
      </c>
      <c r="AA7" s="8">
        <v>3.02</v>
      </c>
      <c r="AB7" s="8">
        <v>2.56</v>
      </c>
      <c r="AC7" s="8">
        <v>2.54</v>
      </c>
    </row>
    <row r="8" spans="1:29" x14ac:dyDescent="0.25">
      <c r="A8" s="1" t="s">
        <v>47</v>
      </c>
      <c r="B8" s="5" t="s">
        <v>48</v>
      </c>
      <c r="C8" s="8">
        <v>1.64</v>
      </c>
      <c r="D8" s="8">
        <v>1.71</v>
      </c>
      <c r="E8" s="8">
        <v>1.62</v>
      </c>
      <c r="F8" s="8">
        <v>1.67</v>
      </c>
      <c r="G8" s="8">
        <v>1.76</v>
      </c>
      <c r="H8" s="8">
        <v>1.73</v>
      </c>
      <c r="I8" s="8">
        <v>1.85</v>
      </c>
      <c r="J8" s="8">
        <v>1.87</v>
      </c>
      <c r="K8" s="8">
        <v>1.82</v>
      </c>
      <c r="L8" s="8">
        <v>1.66</v>
      </c>
      <c r="M8" s="8">
        <v>1.73</v>
      </c>
      <c r="N8" s="8">
        <v>1.75</v>
      </c>
      <c r="O8" s="8">
        <v>1.94</v>
      </c>
      <c r="P8" s="8">
        <v>1.71</v>
      </c>
      <c r="Q8" s="8">
        <v>1.69</v>
      </c>
      <c r="R8" s="8">
        <v>1.91</v>
      </c>
      <c r="S8" s="8">
        <v>1.75</v>
      </c>
      <c r="T8" s="8">
        <v>1.64</v>
      </c>
      <c r="U8" s="8">
        <v>1.98</v>
      </c>
      <c r="V8" s="8">
        <v>1.67</v>
      </c>
      <c r="W8" s="8">
        <v>1.89</v>
      </c>
      <c r="X8" s="8">
        <v>1.66</v>
      </c>
      <c r="Y8" s="8">
        <v>1.62</v>
      </c>
      <c r="Z8" s="8">
        <v>1.93</v>
      </c>
      <c r="AA8" s="8">
        <v>2.02</v>
      </c>
      <c r="AB8" s="8">
        <v>1.71</v>
      </c>
      <c r="AC8" s="8">
        <v>1.69</v>
      </c>
    </row>
    <row r="9" spans="1:29" x14ac:dyDescent="0.25">
      <c r="A9" s="1" t="s">
        <v>49</v>
      </c>
      <c r="B9" s="5" t="s">
        <v>50</v>
      </c>
      <c r="C9" s="8">
        <v>2.82</v>
      </c>
      <c r="D9" s="8">
        <v>2.94</v>
      </c>
      <c r="E9" s="8">
        <v>2.79</v>
      </c>
      <c r="F9" s="8">
        <v>2.88</v>
      </c>
      <c r="G9" s="8">
        <v>3.04</v>
      </c>
      <c r="H9" s="8">
        <v>2.98</v>
      </c>
      <c r="I9" s="8">
        <v>3.19</v>
      </c>
      <c r="J9" s="8">
        <v>3.22</v>
      </c>
      <c r="K9" s="8">
        <v>3.13</v>
      </c>
      <c r="L9" s="8">
        <v>2.85</v>
      </c>
      <c r="M9" s="8">
        <v>2.98</v>
      </c>
      <c r="N9" s="8">
        <v>3.01</v>
      </c>
      <c r="O9" s="8">
        <v>3.35</v>
      </c>
      <c r="P9" s="8">
        <v>2.94</v>
      </c>
      <c r="Q9" s="8">
        <v>2.91</v>
      </c>
      <c r="R9" s="8">
        <v>3.29</v>
      </c>
      <c r="S9" s="8">
        <v>3.01</v>
      </c>
      <c r="T9" s="8">
        <v>2.82</v>
      </c>
      <c r="U9" s="8">
        <v>3.41</v>
      </c>
      <c r="V9" s="8">
        <v>2.88</v>
      </c>
      <c r="W9" s="8">
        <v>3.26</v>
      </c>
      <c r="X9" s="8">
        <v>2.85</v>
      </c>
      <c r="Y9" s="8">
        <v>2.79</v>
      </c>
      <c r="Z9" s="8">
        <v>3.32</v>
      </c>
      <c r="AA9" s="8">
        <v>3.47</v>
      </c>
      <c r="AB9" s="8">
        <v>2.94</v>
      </c>
      <c r="AC9" s="8">
        <v>2.91</v>
      </c>
    </row>
    <row r="10" spans="1:29" x14ac:dyDescent="0.25">
      <c r="A10" s="1" t="s">
        <v>51</v>
      </c>
      <c r="B10" s="5" t="s">
        <v>52</v>
      </c>
      <c r="C10" s="8">
        <v>5.28</v>
      </c>
      <c r="D10" s="8">
        <v>5.51</v>
      </c>
      <c r="E10" s="8">
        <v>5.22</v>
      </c>
      <c r="F10" s="8">
        <v>5.39</v>
      </c>
      <c r="G10" s="8">
        <v>5.68</v>
      </c>
      <c r="H10" s="8">
        <v>5.57</v>
      </c>
      <c r="I10" s="8">
        <v>5.97</v>
      </c>
      <c r="J10" s="8">
        <v>6.03</v>
      </c>
      <c r="K10" s="8">
        <v>5.86</v>
      </c>
      <c r="L10" s="8">
        <v>5.34</v>
      </c>
      <c r="M10" s="8">
        <v>5.57</v>
      </c>
      <c r="N10" s="8">
        <v>5.63</v>
      </c>
      <c r="O10" s="8">
        <v>6.26</v>
      </c>
      <c r="P10" s="8">
        <v>5.51</v>
      </c>
      <c r="Q10" s="8">
        <v>5.45</v>
      </c>
      <c r="R10" s="8">
        <v>6.15</v>
      </c>
      <c r="S10" s="8">
        <v>5.63</v>
      </c>
      <c r="T10" s="8">
        <v>5.28</v>
      </c>
      <c r="U10" s="8">
        <v>6.38</v>
      </c>
      <c r="V10" s="8">
        <v>5.39</v>
      </c>
      <c r="W10" s="8">
        <v>6.09</v>
      </c>
      <c r="X10" s="8">
        <v>5.34</v>
      </c>
      <c r="Y10" s="8">
        <v>5.22</v>
      </c>
      <c r="Z10" s="8">
        <v>6.21</v>
      </c>
      <c r="AA10" s="8">
        <v>6.5</v>
      </c>
      <c r="AB10" s="8">
        <v>5.51</v>
      </c>
      <c r="AC10" s="8">
        <v>5.45</v>
      </c>
    </row>
    <row r="11" spans="1:29" x14ac:dyDescent="0.25">
      <c r="A11" s="1" t="s">
        <v>53</v>
      </c>
      <c r="B11" s="5" t="s">
        <v>54</v>
      </c>
      <c r="C11" s="8">
        <v>1.27</v>
      </c>
      <c r="D11" s="8">
        <v>1.33</v>
      </c>
      <c r="E11" s="8">
        <v>1.26</v>
      </c>
      <c r="F11" s="8">
        <v>1.3</v>
      </c>
      <c r="G11" s="8">
        <v>1.37</v>
      </c>
      <c r="H11" s="8">
        <v>1.34</v>
      </c>
      <c r="I11" s="8">
        <v>1.44</v>
      </c>
      <c r="J11" s="8">
        <v>1.46</v>
      </c>
      <c r="K11" s="8">
        <v>1.41</v>
      </c>
      <c r="L11" s="8">
        <v>1.29</v>
      </c>
      <c r="M11" s="8">
        <v>1.34</v>
      </c>
      <c r="N11" s="8">
        <v>1.36</v>
      </c>
      <c r="O11" s="8">
        <v>1.51</v>
      </c>
      <c r="P11" s="8">
        <v>1.33</v>
      </c>
      <c r="Q11" s="8">
        <v>1.32</v>
      </c>
      <c r="R11" s="8">
        <v>1.48</v>
      </c>
      <c r="S11" s="8">
        <v>1.36</v>
      </c>
      <c r="T11" s="8">
        <v>1.27</v>
      </c>
      <c r="U11" s="8">
        <v>1.54</v>
      </c>
      <c r="V11" s="8">
        <v>1.3</v>
      </c>
      <c r="W11" s="8">
        <v>1.47</v>
      </c>
      <c r="X11" s="8">
        <v>1.29</v>
      </c>
      <c r="Y11" s="8">
        <v>1.26</v>
      </c>
      <c r="Z11" s="8">
        <v>1.5</v>
      </c>
      <c r="AA11" s="8">
        <v>1.57</v>
      </c>
      <c r="AB11" s="8">
        <v>1.33</v>
      </c>
      <c r="AC11" s="8">
        <v>1.32</v>
      </c>
    </row>
    <row r="15" spans="1:29" ht="30" customHeight="1" x14ac:dyDescent="0.25">
      <c r="A15" s="33" t="s">
        <v>81</v>
      </c>
      <c r="B15" s="34" t="s">
        <v>89</v>
      </c>
      <c r="C15" s="9" t="s">
        <v>90</v>
      </c>
    </row>
    <row r="20" spans="1:1" ht="17.25" x14ac:dyDescent="0.3">
      <c r="A20" s="2" t="s">
        <v>35</v>
      </c>
    </row>
    <row r="22" spans="1:1" x14ac:dyDescent="0.25">
      <c r="A22" t="s">
        <v>108</v>
      </c>
    </row>
    <row r="23" spans="1:1" x14ac:dyDescent="0.25">
      <c r="A23" t="s">
        <v>109</v>
      </c>
    </row>
    <row r="24" spans="1:1" x14ac:dyDescent="0.25">
      <c r="A24" t="s">
        <v>110</v>
      </c>
    </row>
    <row r="25" spans="1:1" x14ac:dyDescent="0.25">
      <c r="A25" t="s">
        <v>87</v>
      </c>
    </row>
    <row r="26" spans="1:1" x14ac:dyDescent="0.25">
      <c r="A26" t="s">
        <v>111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499984740745262"/>
  </sheetPr>
  <dimension ref="A3:N64"/>
  <sheetViews>
    <sheetView tabSelected="1" workbookViewId="0">
      <selection activeCell="B25" sqref="B25"/>
    </sheetView>
  </sheetViews>
  <sheetFormatPr defaultRowHeight="15" x14ac:dyDescent="0.25"/>
  <cols>
    <col min="1" max="1" width="4.42578125" customWidth="1"/>
    <col min="2" max="2" width="17.5703125" customWidth="1"/>
    <col min="3" max="3" width="4.5703125" customWidth="1"/>
    <col min="4" max="4" width="5" customWidth="1"/>
    <col min="5" max="5" width="4.7109375" customWidth="1"/>
    <col min="6" max="6" width="42.85546875" customWidth="1"/>
    <col min="7" max="7" width="4.5703125" customWidth="1"/>
    <col min="8" max="8" width="4.42578125" customWidth="1"/>
    <col min="9" max="9" width="39.5703125" bestFit="1" customWidth="1"/>
    <col min="10" max="10" width="26.28515625" customWidth="1"/>
    <col min="11" max="11" width="7.85546875" customWidth="1"/>
    <col min="12" max="12" width="23.7109375" customWidth="1"/>
    <col min="14" max="14" width="26.85546875" bestFit="1" customWidth="1"/>
  </cols>
  <sheetData>
    <row r="3" spans="1:14" x14ac:dyDescent="0.25">
      <c r="B3" s="43" t="s">
        <v>212</v>
      </c>
      <c r="C3" s="43"/>
      <c r="D3" s="43"/>
      <c r="E3" s="43"/>
      <c r="F3" s="43" t="s">
        <v>213</v>
      </c>
      <c r="G3" s="43"/>
      <c r="H3" s="43"/>
      <c r="I3" s="43" t="s">
        <v>220</v>
      </c>
      <c r="J3" s="43" t="s">
        <v>214</v>
      </c>
      <c r="K3" s="43"/>
      <c r="N3" s="44"/>
    </row>
    <row r="4" spans="1:14" x14ac:dyDescent="0.25">
      <c r="A4" s="55"/>
      <c r="B4" t="s">
        <v>215</v>
      </c>
      <c r="D4" s="56"/>
      <c r="E4" s="48"/>
      <c r="F4" s="39" t="s">
        <v>232</v>
      </c>
      <c r="G4" s="39"/>
      <c r="H4" s="49"/>
      <c r="I4" t="s">
        <v>89</v>
      </c>
      <c r="J4" t="s">
        <v>219</v>
      </c>
    </row>
    <row r="5" spans="1:14" x14ac:dyDescent="0.25">
      <c r="A5" s="45"/>
      <c r="B5" t="s">
        <v>114</v>
      </c>
      <c r="D5" s="56"/>
      <c r="E5" s="48"/>
      <c r="F5" s="39" t="s">
        <v>58</v>
      </c>
      <c r="G5" s="39"/>
      <c r="H5" s="50"/>
      <c r="I5" t="s">
        <v>222</v>
      </c>
      <c r="J5" t="s">
        <v>219</v>
      </c>
    </row>
    <row r="6" spans="1:14" x14ac:dyDescent="0.25">
      <c r="A6" s="42"/>
      <c r="B6" t="s">
        <v>216</v>
      </c>
      <c r="D6" s="56"/>
      <c r="E6" s="48"/>
      <c r="F6" s="39" t="s">
        <v>59</v>
      </c>
      <c r="G6" s="39"/>
      <c r="H6" s="6"/>
      <c r="I6" t="s">
        <v>221</v>
      </c>
      <c r="J6" t="s">
        <v>219</v>
      </c>
    </row>
    <row r="7" spans="1:14" x14ac:dyDescent="0.25">
      <c r="A7" s="46"/>
      <c r="B7" t="s">
        <v>201</v>
      </c>
      <c r="D7" s="56"/>
      <c r="E7" s="48"/>
      <c r="F7" s="39" t="s">
        <v>235</v>
      </c>
      <c r="G7" s="39"/>
      <c r="H7" s="51"/>
      <c r="I7" t="s">
        <v>91</v>
      </c>
      <c r="J7" t="s">
        <v>218</v>
      </c>
    </row>
    <row r="8" spans="1:14" x14ac:dyDescent="0.25">
      <c r="D8" s="56"/>
      <c r="E8" s="48"/>
      <c r="F8" s="39" t="s">
        <v>61</v>
      </c>
      <c r="G8" s="39"/>
      <c r="H8" s="52"/>
      <c r="I8" t="s">
        <v>114</v>
      </c>
      <c r="J8" t="s">
        <v>218</v>
      </c>
    </row>
    <row r="9" spans="1:14" x14ac:dyDescent="0.25">
      <c r="D9" s="56"/>
      <c r="E9" s="48"/>
      <c r="F9" s="39" t="s">
        <v>233</v>
      </c>
      <c r="G9" s="39"/>
      <c r="H9" s="53"/>
      <c r="I9" t="s">
        <v>201</v>
      </c>
      <c r="J9" t="s">
        <v>218</v>
      </c>
    </row>
    <row r="10" spans="1:14" x14ac:dyDescent="0.25">
      <c r="D10" s="56"/>
      <c r="E10" s="48"/>
      <c r="F10" s="39" t="s">
        <v>63</v>
      </c>
      <c r="G10" s="39"/>
      <c r="H10" s="60"/>
      <c r="I10" t="s">
        <v>270</v>
      </c>
      <c r="J10" t="s">
        <v>218</v>
      </c>
    </row>
    <row r="11" spans="1:14" x14ac:dyDescent="0.25">
      <c r="D11" s="56"/>
      <c r="E11" s="48"/>
      <c r="F11" s="39" t="s">
        <v>64</v>
      </c>
      <c r="G11" s="39"/>
      <c r="H11" s="60"/>
      <c r="I11" t="s">
        <v>271</v>
      </c>
      <c r="J11" t="s">
        <v>229</v>
      </c>
    </row>
    <row r="12" spans="1:14" x14ac:dyDescent="0.25">
      <c r="D12" s="56"/>
      <c r="E12" s="38"/>
      <c r="F12" s="39" t="s">
        <v>29</v>
      </c>
      <c r="G12" s="39"/>
      <c r="H12" s="54"/>
      <c r="I12" t="s">
        <v>223</v>
      </c>
      <c r="J12" t="s">
        <v>217</v>
      </c>
    </row>
    <row r="13" spans="1:14" x14ac:dyDescent="0.25">
      <c r="D13" s="56"/>
      <c r="E13" s="38"/>
      <c r="F13" s="39" t="s">
        <v>30</v>
      </c>
      <c r="G13" s="39"/>
      <c r="H13" s="54"/>
      <c r="I13" t="s">
        <v>226</v>
      </c>
      <c r="J13" t="s">
        <v>217</v>
      </c>
    </row>
    <row r="14" spans="1:14" x14ac:dyDescent="0.25">
      <c r="D14" s="56"/>
      <c r="E14" s="38"/>
      <c r="F14" s="39" t="s">
        <v>31</v>
      </c>
      <c r="G14" s="39"/>
      <c r="H14" s="54"/>
      <c r="I14" t="s">
        <v>225</v>
      </c>
      <c r="J14" t="s">
        <v>217</v>
      </c>
    </row>
    <row r="15" spans="1:14" x14ac:dyDescent="0.25">
      <c r="D15" s="56"/>
      <c r="E15" s="38"/>
      <c r="F15" s="39" t="s">
        <v>32</v>
      </c>
      <c r="G15" s="39"/>
      <c r="H15" s="54"/>
      <c r="I15" t="s">
        <v>227</v>
      </c>
      <c r="J15" t="s">
        <v>217</v>
      </c>
    </row>
    <row r="16" spans="1:14" x14ac:dyDescent="0.25">
      <c r="D16" s="56"/>
      <c r="E16" s="38"/>
      <c r="F16" s="39" t="s">
        <v>33</v>
      </c>
      <c r="G16" s="39"/>
      <c r="H16" s="54"/>
      <c r="I16" t="s">
        <v>228</v>
      </c>
      <c r="J16" t="s">
        <v>217</v>
      </c>
    </row>
    <row r="17" spans="4:10" x14ac:dyDescent="0.25">
      <c r="D17" s="56"/>
      <c r="E17" s="38"/>
      <c r="F17" s="39" t="s">
        <v>234</v>
      </c>
      <c r="G17" s="39"/>
      <c r="H17" s="54"/>
      <c r="I17" t="s">
        <v>224</v>
      </c>
      <c r="J17" t="s">
        <v>217</v>
      </c>
    </row>
    <row r="18" spans="4:10" x14ac:dyDescent="0.25">
      <c r="D18" s="56"/>
      <c r="E18" s="47"/>
      <c r="F18" s="37" t="s">
        <v>236</v>
      </c>
      <c r="G18" s="37"/>
    </row>
    <row r="19" spans="4:10" x14ac:dyDescent="0.25">
      <c r="D19" s="56"/>
      <c r="E19" s="47"/>
      <c r="F19" s="37" t="s">
        <v>237</v>
      </c>
      <c r="G19" s="37"/>
    </row>
    <row r="20" spans="4:10" x14ac:dyDescent="0.25">
      <c r="D20" s="56"/>
      <c r="E20" s="47"/>
      <c r="F20" s="37" t="s">
        <v>238</v>
      </c>
      <c r="G20" s="37"/>
    </row>
    <row r="21" spans="4:10" x14ac:dyDescent="0.25">
      <c r="D21" s="56"/>
      <c r="E21" s="47"/>
      <c r="F21" s="37" t="s">
        <v>239</v>
      </c>
      <c r="G21" s="37"/>
    </row>
    <row r="22" spans="4:10" x14ac:dyDescent="0.25">
      <c r="D22" s="56"/>
      <c r="E22" s="47"/>
      <c r="F22" s="37" t="s">
        <v>240</v>
      </c>
      <c r="G22" s="37"/>
    </row>
    <row r="23" spans="4:10" x14ac:dyDescent="0.25">
      <c r="D23" s="56"/>
      <c r="E23" s="47"/>
      <c r="F23" s="37" t="s">
        <v>241</v>
      </c>
      <c r="G23" s="37"/>
    </row>
    <row r="24" spans="4:10" x14ac:dyDescent="0.25">
      <c r="D24" s="56"/>
      <c r="E24" s="47"/>
      <c r="F24" s="37" t="s">
        <v>242</v>
      </c>
      <c r="G24" s="37"/>
    </row>
    <row r="25" spans="4:10" x14ac:dyDescent="0.25">
      <c r="D25" s="56"/>
      <c r="E25" s="47"/>
      <c r="F25" s="37" t="s">
        <v>243</v>
      </c>
      <c r="G25" s="37"/>
    </row>
    <row r="26" spans="4:10" x14ac:dyDescent="0.25">
      <c r="D26" s="56"/>
      <c r="E26" s="47"/>
      <c r="F26" s="37" t="s">
        <v>244</v>
      </c>
      <c r="G26" s="37"/>
    </row>
    <row r="27" spans="4:10" x14ac:dyDescent="0.25">
      <c r="D27" s="56"/>
      <c r="E27" s="41"/>
      <c r="F27" s="37" t="s">
        <v>245</v>
      </c>
      <c r="G27" s="37"/>
    </row>
    <row r="28" spans="4:10" x14ac:dyDescent="0.25">
      <c r="D28" s="56"/>
      <c r="E28" s="41"/>
      <c r="F28" s="37" t="s">
        <v>246</v>
      </c>
      <c r="G28" s="37"/>
    </row>
    <row r="29" spans="4:10" x14ac:dyDescent="0.25">
      <c r="D29" s="56"/>
      <c r="E29" s="41"/>
      <c r="F29" s="37" t="s">
        <v>247</v>
      </c>
      <c r="G29" s="37"/>
    </row>
    <row r="30" spans="4:10" x14ac:dyDescent="0.25">
      <c r="D30" s="56"/>
      <c r="E30" s="41"/>
      <c r="F30" s="37" t="s">
        <v>248</v>
      </c>
      <c r="G30" s="37"/>
    </row>
    <row r="31" spans="4:10" x14ac:dyDescent="0.25">
      <c r="D31" s="56"/>
      <c r="E31" s="41"/>
      <c r="F31" s="37" t="s">
        <v>249</v>
      </c>
      <c r="G31" s="37"/>
    </row>
    <row r="32" spans="4:10" x14ac:dyDescent="0.25">
      <c r="D32" s="56"/>
      <c r="E32" s="41"/>
      <c r="F32" s="37" t="s">
        <v>72</v>
      </c>
      <c r="G32" s="37"/>
    </row>
    <row r="33" spans="4:7" x14ac:dyDescent="0.25">
      <c r="D33" s="56"/>
      <c r="E33" s="41"/>
      <c r="F33" s="37" t="s">
        <v>73</v>
      </c>
      <c r="G33" s="37"/>
    </row>
    <row r="34" spans="4:7" x14ac:dyDescent="0.25">
      <c r="D34" s="56"/>
      <c r="E34" s="41"/>
      <c r="F34" s="37" t="s">
        <v>250</v>
      </c>
      <c r="G34" s="37"/>
    </row>
    <row r="35" spans="4:7" x14ac:dyDescent="0.25">
      <c r="D35" s="57"/>
      <c r="E35" s="45"/>
      <c r="F35" s="37" t="s">
        <v>251</v>
      </c>
      <c r="G35" s="37"/>
    </row>
    <row r="36" spans="4:7" x14ac:dyDescent="0.25">
      <c r="D36" s="57"/>
      <c r="E36" s="45"/>
      <c r="F36" s="37" t="s">
        <v>252</v>
      </c>
      <c r="G36" s="37"/>
    </row>
    <row r="37" spans="4:7" x14ac:dyDescent="0.25">
      <c r="D37" s="57"/>
      <c r="E37" s="45"/>
      <c r="F37" s="37" t="s">
        <v>253</v>
      </c>
      <c r="G37" s="37"/>
    </row>
    <row r="38" spans="4:7" x14ac:dyDescent="0.25">
      <c r="D38" s="58"/>
      <c r="E38" s="42"/>
      <c r="F38" s="37" t="s">
        <v>129</v>
      </c>
    </row>
    <row r="39" spans="4:7" x14ac:dyDescent="0.25">
      <c r="D39" s="58"/>
      <c r="E39" s="42"/>
      <c r="F39" t="s">
        <v>133</v>
      </c>
    </row>
    <row r="40" spans="4:7" x14ac:dyDescent="0.25">
      <c r="D40" s="58"/>
      <c r="E40" s="42"/>
      <c r="F40" t="s">
        <v>134</v>
      </c>
    </row>
    <row r="41" spans="4:7" x14ac:dyDescent="0.25">
      <c r="D41" s="58"/>
      <c r="E41" s="42"/>
      <c r="F41" t="s">
        <v>254</v>
      </c>
    </row>
    <row r="42" spans="4:7" x14ac:dyDescent="0.25">
      <c r="D42" s="58"/>
      <c r="E42" s="42"/>
      <c r="F42" t="s">
        <v>255</v>
      </c>
    </row>
    <row r="43" spans="4:7" x14ac:dyDescent="0.25">
      <c r="D43" s="58"/>
      <c r="E43" s="42"/>
      <c r="F43" t="s">
        <v>162</v>
      </c>
      <c r="G43" s="37"/>
    </row>
    <row r="44" spans="4:7" x14ac:dyDescent="0.25">
      <c r="D44" s="58"/>
      <c r="E44" s="42"/>
      <c r="F44" t="s">
        <v>141</v>
      </c>
    </row>
    <row r="45" spans="4:7" x14ac:dyDescent="0.25">
      <c r="D45" s="58"/>
      <c r="E45" s="42"/>
      <c r="F45" t="s">
        <v>144</v>
      </c>
    </row>
    <row r="46" spans="4:7" x14ac:dyDescent="0.25">
      <c r="D46" s="58"/>
      <c r="E46" s="42"/>
      <c r="F46" t="s">
        <v>256</v>
      </c>
    </row>
    <row r="47" spans="4:7" x14ac:dyDescent="0.25">
      <c r="D47" s="58"/>
      <c r="E47" s="42"/>
      <c r="F47" t="s">
        <v>257</v>
      </c>
    </row>
    <row r="48" spans="4:7" x14ac:dyDescent="0.25">
      <c r="D48" s="58"/>
      <c r="E48" s="42"/>
      <c r="F48" t="s">
        <v>149</v>
      </c>
    </row>
    <row r="49" spans="4:6" x14ac:dyDescent="0.25">
      <c r="D49" s="58"/>
      <c r="E49" s="42"/>
      <c r="F49" t="s">
        <v>152</v>
      </c>
    </row>
    <row r="50" spans="4:6" x14ac:dyDescent="0.25">
      <c r="D50" s="58"/>
      <c r="E50" s="42"/>
      <c r="F50" t="s">
        <v>154</v>
      </c>
    </row>
    <row r="51" spans="4:6" x14ac:dyDescent="0.25">
      <c r="D51" s="58"/>
      <c r="E51" s="42"/>
      <c r="F51" t="s">
        <v>158</v>
      </c>
    </row>
    <row r="52" spans="4:6" x14ac:dyDescent="0.25">
      <c r="D52" s="58"/>
      <c r="E52" s="42"/>
      <c r="F52" t="s">
        <v>258</v>
      </c>
    </row>
    <row r="53" spans="4:6" x14ac:dyDescent="0.25">
      <c r="D53" s="59"/>
      <c r="E53" s="40"/>
      <c r="F53" t="s">
        <v>259</v>
      </c>
    </row>
    <row r="54" spans="4:6" x14ac:dyDescent="0.25">
      <c r="D54" s="59"/>
      <c r="E54" s="40"/>
      <c r="F54" t="s">
        <v>260</v>
      </c>
    </row>
    <row r="55" spans="4:6" x14ac:dyDescent="0.25">
      <c r="D55" s="59"/>
      <c r="E55" s="40"/>
      <c r="F55" t="s">
        <v>261</v>
      </c>
    </row>
    <row r="56" spans="4:6" x14ac:dyDescent="0.25">
      <c r="D56" s="59"/>
      <c r="E56" s="40"/>
      <c r="F56" t="s">
        <v>262</v>
      </c>
    </row>
    <row r="57" spans="4:6" x14ac:dyDescent="0.25">
      <c r="D57" s="59"/>
      <c r="E57" s="40"/>
      <c r="F57" t="s">
        <v>263</v>
      </c>
    </row>
    <row r="58" spans="4:6" x14ac:dyDescent="0.25">
      <c r="D58" s="59"/>
      <c r="E58" s="40"/>
      <c r="F58" t="s">
        <v>264</v>
      </c>
    </row>
    <row r="59" spans="4:6" x14ac:dyDescent="0.25">
      <c r="D59" s="56"/>
      <c r="E59" s="60" t="s">
        <v>231</v>
      </c>
      <c r="F59" t="s">
        <v>265</v>
      </c>
    </row>
    <row r="60" spans="4:6" x14ac:dyDescent="0.25">
      <c r="D60" s="56"/>
      <c r="E60" s="60" t="s">
        <v>230</v>
      </c>
      <c r="F60" t="s">
        <v>266</v>
      </c>
    </row>
    <row r="61" spans="4:6" x14ac:dyDescent="0.25">
      <c r="D61" s="56"/>
      <c r="E61" s="60" t="s">
        <v>230</v>
      </c>
      <c r="F61" t="s">
        <v>267</v>
      </c>
    </row>
    <row r="62" spans="4:6" x14ac:dyDescent="0.25">
      <c r="D62" s="56"/>
      <c r="E62" s="60" t="s">
        <v>230</v>
      </c>
      <c r="F62" t="s">
        <v>268</v>
      </c>
    </row>
    <row r="63" spans="4:6" x14ac:dyDescent="0.25">
      <c r="D63" s="56"/>
      <c r="E63" s="60" t="s">
        <v>230</v>
      </c>
      <c r="F63" t="s">
        <v>269</v>
      </c>
    </row>
    <row r="64" spans="4:6" x14ac:dyDescent="0.25">
      <c r="D64" s="56"/>
      <c r="E64" s="60" t="s">
        <v>230</v>
      </c>
      <c r="F64" t="s">
        <v>172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6"/>
  <sheetViews>
    <sheetView workbookViewId="0">
      <selection activeCell="A4" sqref="A4:A11"/>
    </sheetView>
  </sheetViews>
  <sheetFormatPr defaultRowHeight="15" x14ac:dyDescent="0.25"/>
  <cols>
    <col min="1" max="1" width="26.42578125" customWidth="1"/>
    <col min="2" max="28" width="16.7109375" customWidth="1"/>
  </cols>
  <sheetData>
    <row r="1" spans="1:28" ht="30" customHeight="1" x14ac:dyDescent="0.25">
      <c r="A1" s="61" t="s">
        <v>55</v>
      </c>
      <c r="B1" s="61"/>
      <c r="C1" s="61"/>
      <c r="D1" s="61"/>
    </row>
    <row r="2" spans="1:28" ht="18.75" x14ac:dyDescent="0.25">
      <c r="A2" s="28" t="s">
        <v>200</v>
      </c>
    </row>
    <row r="3" spans="1:28" ht="24" customHeight="1" x14ac:dyDescent="0.25">
      <c r="A3" s="7" t="s">
        <v>56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</row>
    <row r="4" spans="1:28" x14ac:dyDescent="0.25">
      <c r="A4" s="1" t="s">
        <v>57</v>
      </c>
      <c r="B4" s="4">
        <v>1.0900000000000001</v>
      </c>
      <c r="C4" s="4">
        <v>1.1399999999999999</v>
      </c>
      <c r="D4" s="4">
        <v>1.08</v>
      </c>
      <c r="E4" s="4">
        <v>1.1200000000000001</v>
      </c>
      <c r="F4" s="4">
        <v>1.18</v>
      </c>
      <c r="G4" s="4">
        <v>1.1499999999999999</v>
      </c>
      <c r="H4" s="4">
        <v>1.24</v>
      </c>
      <c r="I4" s="4">
        <v>1.25</v>
      </c>
      <c r="J4" s="4">
        <v>1.21</v>
      </c>
      <c r="K4" s="4">
        <v>1.1000000000000001</v>
      </c>
      <c r="L4" s="4">
        <v>1.1499999999999999</v>
      </c>
      <c r="M4" s="4">
        <v>1.1599999999999999</v>
      </c>
      <c r="N4" s="4">
        <v>1.3</v>
      </c>
      <c r="O4" s="4">
        <v>1.1399999999999999</v>
      </c>
      <c r="P4" s="4">
        <v>1.1299999999999999</v>
      </c>
      <c r="Q4" s="4">
        <v>1.27</v>
      </c>
      <c r="R4" s="4">
        <v>1.1599999999999999</v>
      </c>
      <c r="S4" s="4">
        <v>1.0900000000000001</v>
      </c>
      <c r="T4" s="4">
        <v>1.32</v>
      </c>
      <c r="U4" s="4">
        <v>1.1200000000000001</v>
      </c>
      <c r="V4" s="4">
        <v>1.26</v>
      </c>
      <c r="W4" s="4">
        <v>1.1000000000000001</v>
      </c>
      <c r="X4" s="4">
        <v>1.08</v>
      </c>
      <c r="Y4" s="4">
        <v>1.28</v>
      </c>
      <c r="Z4" s="4">
        <v>1.34</v>
      </c>
      <c r="AA4" s="4">
        <v>1.1399999999999999</v>
      </c>
      <c r="AB4" s="4">
        <v>1.1299999999999999</v>
      </c>
    </row>
    <row r="5" spans="1:28" x14ac:dyDescent="0.25">
      <c r="A5" s="1" t="s">
        <v>58</v>
      </c>
      <c r="B5" s="4">
        <v>0.5</v>
      </c>
      <c r="C5" s="4">
        <v>0.52</v>
      </c>
      <c r="D5" s="4">
        <v>0.5</v>
      </c>
      <c r="E5" s="4">
        <v>0.51</v>
      </c>
      <c r="F5" s="4">
        <v>0.54</v>
      </c>
      <c r="G5" s="4">
        <v>0.53</v>
      </c>
      <c r="H5" s="4">
        <v>0.56999999999999995</v>
      </c>
      <c r="I5" s="4">
        <v>0.56999999999999995</v>
      </c>
      <c r="J5" s="4">
        <v>0.56000000000000005</v>
      </c>
      <c r="K5" s="4">
        <v>0.51</v>
      </c>
      <c r="L5" s="4">
        <v>0.53</v>
      </c>
      <c r="M5" s="4">
        <v>0.53</v>
      </c>
      <c r="N5" s="4">
        <v>0.59</v>
      </c>
      <c r="O5" s="4">
        <v>0.52</v>
      </c>
      <c r="P5" s="4">
        <v>0.52</v>
      </c>
      <c r="Q5" s="4">
        <v>0.57999999999999996</v>
      </c>
      <c r="R5" s="4">
        <v>0.53</v>
      </c>
      <c r="S5" s="4">
        <v>0.5</v>
      </c>
      <c r="T5" s="4">
        <v>0.61</v>
      </c>
      <c r="U5" s="4">
        <v>0.51</v>
      </c>
      <c r="V5" s="4">
        <v>0.57999999999999996</v>
      </c>
      <c r="W5" s="4">
        <v>0.51</v>
      </c>
      <c r="X5" s="4">
        <v>0.5</v>
      </c>
      <c r="Y5" s="4">
        <v>0.59</v>
      </c>
      <c r="Z5" s="4">
        <v>0.62</v>
      </c>
      <c r="AA5" s="4">
        <v>0.52</v>
      </c>
      <c r="AB5" s="4">
        <v>0.52</v>
      </c>
    </row>
    <row r="6" spans="1:28" x14ac:dyDescent="0.25">
      <c r="A6" s="1" t="s">
        <v>59</v>
      </c>
      <c r="B6" s="4">
        <v>0.68</v>
      </c>
      <c r="C6" s="4">
        <v>0.71</v>
      </c>
      <c r="D6" s="4">
        <v>0.68</v>
      </c>
      <c r="E6" s="4">
        <v>0.7</v>
      </c>
      <c r="F6" s="4">
        <v>0.73</v>
      </c>
      <c r="G6" s="4">
        <v>0.72</v>
      </c>
      <c r="H6" s="4">
        <v>0.77</v>
      </c>
      <c r="I6" s="4">
        <v>0.78</v>
      </c>
      <c r="J6" s="4">
        <v>0.76</v>
      </c>
      <c r="K6" s="4">
        <v>0.69</v>
      </c>
      <c r="L6" s="4">
        <v>0.72</v>
      </c>
      <c r="M6" s="4">
        <v>0.73</v>
      </c>
      <c r="N6" s="4">
        <v>0.81</v>
      </c>
      <c r="O6" s="4">
        <v>0.71</v>
      </c>
      <c r="P6" s="4">
        <v>0.7</v>
      </c>
      <c r="Q6" s="4">
        <v>0.8</v>
      </c>
      <c r="R6" s="4">
        <v>0.73</v>
      </c>
      <c r="S6" s="4">
        <v>0.68</v>
      </c>
      <c r="T6" s="4">
        <v>0.83</v>
      </c>
      <c r="U6" s="4">
        <v>0.7</v>
      </c>
      <c r="V6" s="4">
        <v>0.79</v>
      </c>
      <c r="W6" s="4">
        <v>0.69</v>
      </c>
      <c r="X6" s="4">
        <v>0.68</v>
      </c>
      <c r="Y6" s="4">
        <v>0.8</v>
      </c>
      <c r="Z6" s="4">
        <v>0.84</v>
      </c>
      <c r="AA6" s="4">
        <v>0.71</v>
      </c>
      <c r="AB6" s="4">
        <v>0.7</v>
      </c>
    </row>
    <row r="7" spans="1:28" x14ac:dyDescent="0.25">
      <c r="A7" s="1" t="s">
        <v>60</v>
      </c>
      <c r="B7" s="4">
        <v>0.77</v>
      </c>
      <c r="C7" s="4">
        <v>0.81</v>
      </c>
      <c r="D7" s="4">
        <v>0.77</v>
      </c>
      <c r="E7" s="4">
        <v>0.79</v>
      </c>
      <c r="F7" s="4">
        <v>0.83</v>
      </c>
      <c r="G7" s="4">
        <v>0.82</v>
      </c>
      <c r="H7" s="4">
        <v>0.88</v>
      </c>
      <c r="I7" s="4">
        <v>0.88</v>
      </c>
      <c r="J7" s="4">
        <v>0.86</v>
      </c>
      <c r="K7" s="4">
        <v>0.78</v>
      </c>
      <c r="L7" s="4">
        <v>0.82</v>
      </c>
      <c r="M7" s="4">
        <v>0.82</v>
      </c>
      <c r="N7" s="4">
        <v>0.92</v>
      </c>
      <c r="O7" s="4">
        <v>0.81</v>
      </c>
      <c r="P7" s="4">
        <v>0.8</v>
      </c>
      <c r="Q7" s="4">
        <v>0.9</v>
      </c>
      <c r="R7" s="4">
        <v>0.82</v>
      </c>
      <c r="S7" s="4">
        <v>0.77</v>
      </c>
      <c r="T7" s="4">
        <v>0.94</v>
      </c>
      <c r="U7" s="4">
        <v>0.79</v>
      </c>
      <c r="V7" s="4">
        <v>0.89</v>
      </c>
      <c r="W7" s="4">
        <v>0.78</v>
      </c>
      <c r="X7" s="4">
        <v>0.77</v>
      </c>
      <c r="Y7" s="4">
        <v>0.91</v>
      </c>
      <c r="Z7" s="4">
        <v>0.95</v>
      </c>
      <c r="AA7" s="4">
        <v>0.81</v>
      </c>
      <c r="AB7" s="4">
        <v>0.8</v>
      </c>
    </row>
    <row r="8" spans="1:28" x14ac:dyDescent="0.25">
      <c r="A8" s="1" t="s">
        <v>61</v>
      </c>
      <c r="B8" s="4">
        <v>0.41</v>
      </c>
      <c r="C8" s="4">
        <v>0.43</v>
      </c>
      <c r="D8" s="4">
        <v>0.41</v>
      </c>
      <c r="E8" s="4">
        <v>0.42</v>
      </c>
      <c r="F8" s="4">
        <v>0.44</v>
      </c>
      <c r="G8" s="4">
        <v>0.43</v>
      </c>
      <c r="H8" s="4">
        <v>0.46</v>
      </c>
      <c r="I8" s="4">
        <v>0.47</v>
      </c>
      <c r="J8" s="4">
        <v>0.45</v>
      </c>
      <c r="K8" s="4">
        <v>0.41</v>
      </c>
      <c r="L8" s="4">
        <v>0.43</v>
      </c>
      <c r="M8" s="4">
        <v>0.44</v>
      </c>
      <c r="N8" s="4">
        <v>0.49</v>
      </c>
      <c r="O8" s="4">
        <v>0.43</v>
      </c>
      <c r="P8" s="4">
        <v>0.42</v>
      </c>
      <c r="Q8" s="4">
        <v>0.48</v>
      </c>
      <c r="R8" s="4">
        <v>0.44</v>
      </c>
      <c r="S8" s="4">
        <v>0.41</v>
      </c>
      <c r="T8" s="4">
        <v>0.5</v>
      </c>
      <c r="U8" s="4">
        <v>0.42</v>
      </c>
      <c r="V8" s="4">
        <v>0.47</v>
      </c>
      <c r="W8" s="4">
        <v>0.41</v>
      </c>
      <c r="X8" s="4">
        <v>0.41</v>
      </c>
      <c r="Y8" s="4">
        <v>0.48</v>
      </c>
      <c r="Z8" s="4">
        <v>0.5</v>
      </c>
      <c r="AA8" s="4">
        <v>0.43</v>
      </c>
      <c r="AB8" s="4">
        <v>0.42</v>
      </c>
    </row>
    <row r="9" spans="1:28" x14ac:dyDescent="0.25">
      <c r="A9" s="1" t="s">
        <v>62</v>
      </c>
      <c r="B9" s="4">
        <v>0.86</v>
      </c>
      <c r="C9" s="4">
        <v>0.9</v>
      </c>
      <c r="D9" s="4">
        <v>0.85</v>
      </c>
      <c r="E9" s="4">
        <v>0.88</v>
      </c>
      <c r="F9" s="4">
        <v>0.93</v>
      </c>
      <c r="G9" s="4">
        <v>0.91</v>
      </c>
      <c r="H9" s="4">
        <v>0.98</v>
      </c>
      <c r="I9" s="4">
        <v>0.99</v>
      </c>
      <c r="J9" s="4">
        <v>0.96</v>
      </c>
      <c r="K9" s="4">
        <v>0.87</v>
      </c>
      <c r="L9" s="4">
        <v>0.91</v>
      </c>
      <c r="M9" s="4">
        <v>0.92</v>
      </c>
      <c r="N9" s="4">
        <v>1.03</v>
      </c>
      <c r="O9" s="4">
        <v>0.9</v>
      </c>
      <c r="P9" s="4">
        <v>0.89</v>
      </c>
      <c r="Q9" s="4">
        <v>1.01</v>
      </c>
      <c r="R9" s="4">
        <v>0.92</v>
      </c>
      <c r="S9" s="4">
        <v>0.86</v>
      </c>
      <c r="T9" s="4">
        <v>1.04</v>
      </c>
      <c r="U9" s="4">
        <v>0.88</v>
      </c>
      <c r="V9" s="4">
        <v>1</v>
      </c>
      <c r="W9" s="4">
        <v>0.87</v>
      </c>
      <c r="X9" s="4">
        <v>0.85</v>
      </c>
      <c r="Y9" s="4">
        <v>1.02</v>
      </c>
      <c r="Z9" s="4">
        <v>1.06</v>
      </c>
      <c r="AA9" s="4">
        <v>0.9</v>
      </c>
      <c r="AB9" s="4">
        <v>0.89</v>
      </c>
    </row>
    <row r="10" spans="1:28" x14ac:dyDescent="0.25">
      <c r="A10" s="1" t="s">
        <v>63</v>
      </c>
      <c r="B10" s="4">
        <v>0.64</v>
      </c>
      <c r="C10" s="4">
        <v>0.66</v>
      </c>
      <c r="D10" s="4">
        <v>0.63</v>
      </c>
      <c r="E10" s="4">
        <v>0.65</v>
      </c>
      <c r="F10" s="4">
        <v>0.69</v>
      </c>
      <c r="G10" s="4">
        <v>0.67</v>
      </c>
      <c r="H10" s="4">
        <v>0.72</v>
      </c>
      <c r="I10" s="4">
        <v>0.73</v>
      </c>
      <c r="J10" s="4">
        <v>0.71</v>
      </c>
      <c r="K10" s="4">
        <v>0.64</v>
      </c>
      <c r="L10" s="4">
        <v>0.67</v>
      </c>
      <c r="M10" s="4">
        <v>0.68</v>
      </c>
      <c r="N10" s="4">
        <v>0.76</v>
      </c>
      <c r="O10" s="4">
        <v>0.66</v>
      </c>
      <c r="P10" s="4">
        <v>0.66</v>
      </c>
      <c r="Q10" s="4">
        <v>0.74</v>
      </c>
      <c r="R10" s="4">
        <v>0.68</v>
      </c>
      <c r="S10" s="4">
        <v>0.64</v>
      </c>
      <c r="T10" s="4">
        <v>0.77</v>
      </c>
      <c r="U10" s="4">
        <v>0.65</v>
      </c>
      <c r="V10" s="4">
        <v>0.73</v>
      </c>
      <c r="W10" s="4">
        <v>0.64</v>
      </c>
      <c r="X10" s="4">
        <v>0.63</v>
      </c>
      <c r="Y10" s="4">
        <v>0.75</v>
      </c>
      <c r="Z10" s="4">
        <v>0.78</v>
      </c>
      <c r="AA10" s="4">
        <v>0.66</v>
      </c>
      <c r="AB10" s="4">
        <v>0.66</v>
      </c>
    </row>
    <row r="11" spans="1:28" x14ac:dyDescent="0.25">
      <c r="A11" s="1" t="s">
        <v>64</v>
      </c>
      <c r="B11" s="4">
        <v>0.36</v>
      </c>
      <c r="C11" s="4">
        <v>0.38</v>
      </c>
      <c r="D11" s="4">
        <v>0.36</v>
      </c>
      <c r="E11" s="4">
        <v>0.37</v>
      </c>
      <c r="F11" s="4">
        <v>0.39</v>
      </c>
      <c r="G11" s="4">
        <v>0.38</v>
      </c>
      <c r="H11" s="4">
        <v>0.41</v>
      </c>
      <c r="I11" s="4">
        <v>0.42</v>
      </c>
      <c r="J11" s="4">
        <v>0.4</v>
      </c>
      <c r="K11" s="4">
        <v>0.37</v>
      </c>
      <c r="L11" s="4">
        <v>0.38</v>
      </c>
      <c r="M11" s="4">
        <v>0.39</v>
      </c>
      <c r="N11" s="4">
        <v>0.43</v>
      </c>
      <c r="O11" s="4">
        <v>0.38</v>
      </c>
      <c r="P11" s="4">
        <v>0.38</v>
      </c>
      <c r="Q11" s="4">
        <v>0.42</v>
      </c>
      <c r="R11" s="4">
        <v>0.39</v>
      </c>
      <c r="S11" s="4">
        <v>0.36</v>
      </c>
      <c r="T11" s="4">
        <v>0.44</v>
      </c>
      <c r="U11" s="4">
        <v>0.37</v>
      </c>
      <c r="V11" s="4">
        <v>0.42</v>
      </c>
      <c r="W11" s="4">
        <v>0.37</v>
      </c>
      <c r="X11" s="4">
        <v>0.36</v>
      </c>
      <c r="Y11" s="4">
        <v>0.43</v>
      </c>
      <c r="Z11" s="4">
        <v>0.45</v>
      </c>
      <c r="AA11" s="4">
        <v>0.38</v>
      </c>
      <c r="AB11" s="4">
        <v>0.38</v>
      </c>
    </row>
    <row r="15" spans="1:28" ht="30.75" customHeight="1" x14ac:dyDescent="0.25">
      <c r="A15" s="33" t="s">
        <v>81</v>
      </c>
      <c r="B15" s="34" t="s">
        <v>91</v>
      </c>
      <c r="C15" s="10" t="s">
        <v>92</v>
      </c>
    </row>
    <row r="20" spans="1:1" ht="17.25" x14ac:dyDescent="0.3">
      <c r="A20" s="2" t="s">
        <v>35</v>
      </c>
    </row>
    <row r="22" spans="1:1" x14ac:dyDescent="0.25">
      <c r="A22" t="s">
        <v>93</v>
      </c>
    </row>
    <row r="23" spans="1:1" x14ac:dyDescent="0.25">
      <c r="A23" t="s">
        <v>94</v>
      </c>
    </row>
    <row r="24" spans="1:1" x14ac:dyDescent="0.25">
      <c r="A24" t="s">
        <v>95</v>
      </c>
    </row>
    <row r="25" spans="1:1" x14ac:dyDescent="0.25">
      <c r="A25" t="s">
        <v>87</v>
      </c>
    </row>
    <row r="26" spans="1:1" x14ac:dyDescent="0.25">
      <c r="A26" t="s">
        <v>96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26"/>
  <sheetViews>
    <sheetView workbookViewId="0">
      <selection activeCell="A4" sqref="A4:A11"/>
    </sheetView>
  </sheetViews>
  <sheetFormatPr defaultRowHeight="15" x14ac:dyDescent="0.25"/>
  <cols>
    <col min="1" max="1" width="26.5703125" customWidth="1"/>
    <col min="2" max="28" width="16.7109375" customWidth="1"/>
  </cols>
  <sheetData>
    <row r="1" spans="1:28" ht="30.75" customHeight="1" x14ac:dyDescent="0.25">
      <c r="A1" s="61" t="s">
        <v>65</v>
      </c>
      <c r="B1" s="61"/>
      <c r="C1" s="61"/>
      <c r="D1" s="61"/>
    </row>
    <row r="2" spans="1:28" ht="24.75" customHeight="1" x14ac:dyDescent="0.25">
      <c r="A2" s="28" t="s">
        <v>199</v>
      </c>
    </row>
    <row r="3" spans="1:28" ht="23.25" customHeight="1" x14ac:dyDescent="0.25">
      <c r="A3" s="7" t="s">
        <v>66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</row>
    <row r="4" spans="1:28" x14ac:dyDescent="0.25">
      <c r="A4" s="1" t="s">
        <v>67</v>
      </c>
      <c r="B4" s="4">
        <v>0.27</v>
      </c>
      <c r="C4" s="4">
        <v>0.28000000000000003</v>
      </c>
      <c r="D4" s="4">
        <v>0.27</v>
      </c>
      <c r="E4" s="4">
        <v>0.28000000000000003</v>
      </c>
      <c r="F4" s="4">
        <v>0.28999999999999998</v>
      </c>
      <c r="G4" s="4">
        <v>0.28999999999999998</v>
      </c>
      <c r="H4" s="4">
        <v>0.31</v>
      </c>
      <c r="I4" s="4">
        <v>0.31</v>
      </c>
      <c r="J4" s="4">
        <v>0.3</v>
      </c>
      <c r="K4" s="4">
        <v>0.28000000000000003</v>
      </c>
      <c r="L4" s="4">
        <v>0.28999999999999998</v>
      </c>
      <c r="M4" s="4">
        <v>0.28999999999999998</v>
      </c>
      <c r="N4" s="4">
        <v>0.32</v>
      </c>
      <c r="O4" s="4">
        <v>0.28000000000000003</v>
      </c>
      <c r="P4" s="4">
        <v>0.28000000000000003</v>
      </c>
      <c r="Q4" s="4">
        <v>0.32</v>
      </c>
      <c r="R4" s="4">
        <v>0.28999999999999998</v>
      </c>
      <c r="S4" s="4">
        <v>0.27</v>
      </c>
      <c r="T4" s="4">
        <v>0.33</v>
      </c>
      <c r="U4" s="4">
        <v>0.28000000000000003</v>
      </c>
      <c r="V4" s="4">
        <v>0.32</v>
      </c>
      <c r="W4" s="4">
        <v>0.28000000000000003</v>
      </c>
      <c r="X4" s="4">
        <v>0.27</v>
      </c>
      <c r="Y4" s="4">
        <v>0.32</v>
      </c>
      <c r="Z4" s="4">
        <v>0.34</v>
      </c>
      <c r="AA4" s="4">
        <v>0.28000000000000003</v>
      </c>
      <c r="AB4" s="4">
        <v>0.28000000000000003</v>
      </c>
    </row>
    <row r="5" spans="1:28" x14ac:dyDescent="0.25">
      <c r="A5" s="1" t="s">
        <v>68</v>
      </c>
      <c r="B5" s="4">
        <v>0.23</v>
      </c>
      <c r="C5" s="4">
        <v>0.24</v>
      </c>
      <c r="D5" s="4">
        <v>0.23</v>
      </c>
      <c r="E5" s="4">
        <v>0.23</v>
      </c>
      <c r="F5" s="4">
        <v>0.24</v>
      </c>
      <c r="G5" s="4">
        <v>0.24</v>
      </c>
      <c r="H5" s="4">
        <v>0.26</v>
      </c>
      <c r="I5" s="4">
        <v>0.26</v>
      </c>
      <c r="J5" s="4">
        <v>0.25</v>
      </c>
      <c r="K5" s="4">
        <v>0.23</v>
      </c>
      <c r="L5" s="4">
        <v>0.24</v>
      </c>
      <c r="M5" s="4">
        <v>0.24</v>
      </c>
      <c r="N5" s="4">
        <v>0.27</v>
      </c>
      <c r="O5" s="4">
        <v>0.24</v>
      </c>
      <c r="P5" s="4">
        <v>0.23</v>
      </c>
      <c r="Q5" s="4">
        <v>0.27</v>
      </c>
      <c r="R5" s="4">
        <v>0.24</v>
      </c>
      <c r="S5" s="4">
        <v>0.23</v>
      </c>
      <c r="T5" s="4">
        <v>0.28000000000000003</v>
      </c>
      <c r="U5" s="4">
        <v>0.23</v>
      </c>
      <c r="V5" s="4">
        <v>0.26</v>
      </c>
      <c r="W5" s="4">
        <v>0.23</v>
      </c>
      <c r="X5" s="4">
        <v>0.23</v>
      </c>
      <c r="Y5" s="4">
        <v>0.27</v>
      </c>
      <c r="Z5" s="4">
        <v>0.28000000000000003</v>
      </c>
      <c r="AA5" s="4">
        <v>0.24</v>
      </c>
      <c r="AB5" s="4">
        <v>0.23</v>
      </c>
    </row>
    <row r="6" spans="1:28" x14ac:dyDescent="0.25">
      <c r="A6" s="1" t="s">
        <v>69</v>
      </c>
      <c r="B6" s="4">
        <v>0.25</v>
      </c>
      <c r="C6" s="4">
        <v>0.27</v>
      </c>
      <c r="D6" s="4">
        <v>0.25</v>
      </c>
      <c r="E6" s="4">
        <v>0.26</v>
      </c>
      <c r="F6" s="4">
        <v>0.27</v>
      </c>
      <c r="G6" s="4">
        <v>0.27</v>
      </c>
      <c r="H6" s="4">
        <v>0.28999999999999998</v>
      </c>
      <c r="I6" s="4">
        <v>0.28999999999999998</v>
      </c>
      <c r="J6" s="4">
        <v>0.28000000000000003</v>
      </c>
      <c r="K6" s="4">
        <v>0.26</v>
      </c>
      <c r="L6" s="4">
        <v>0.27</v>
      </c>
      <c r="M6" s="4">
        <v>0.27</v>
      </c>
      <c r="N6" s="4">
        <v>0.3</v>
      </c>
      <c r="O6" s="4">
        <v>0.27</v>
      </c>
      <c r="P6" s="4">
        <v>0.26</v>
      </c>
      <c r="Q6" s="4">
        <v>0.3</v>
      </c>
      <c r="R6" s="4">
        <v>0.27</v>
      </c>
      <c r="S6" s="4">
        <v>0.25</v>
      </c>
      <c r="T6" s="4">
        <v>0.31</v>
      </c>
      <c r="U6" s="4">
        <v>0.26</v>
      </c>
      <c r="V6" s="4">
        <v>0.28999999999999998</v>
      </c>
      <c r="W6" s="4">
        <v>0.26</v>
      </c>
      <c r="X6" s="4">
        <v>0.25</v>
      </c>
      <c r="Y6" s="4">
        <v>0.3</v>
      </c>
      <c r="Z6" s="4">
        <v>0.31</v>
      </c>
      <c r="AA6" s="4">
        <v>0.27</v>
      </c>
      <c r="AB6" s="4">
        <v>0.26</v>
      </c>
    </row>
    <row r="7" spans="1:28" x14ac:dyDescent="0.25">
      <c r="A7" s="1" t="s">
        <v>70</v>
      </c>
      <c r="B7" s="4">
        <v>0.41</v>
      </c>
      <c r="C7" s="4">
        <v>0.43</v>
      </c>
      <c r="D7" s="4">
        <v>0.41</v>
      </c>
      <c r="E7" s="4">
        <v>0.42</v>
      </c>
      <c r="F7" s="4">
        <v>0.44</v>
      </c>
      <c r="G7" s="4">
        <v>0.43</v>
      </c>
      <c r="H7" s="4">
        <v>0.46</v>
      </c>
      <c r="I7" s="4">
        <v>0.47</v>
      </c>
      <c r="J7" s="4">
        <v>0.45</v>
      </c>
      <c r="K7" s="4">
        <v>0.41</v>
      </c>
      <c r="L7" s="4">
        <v>0.43</v>
      </c>
      <c r="M7" s="4">
        <v>0.44</v>
      </c>
      <c r="N7" s="4">
        <v>0.49</v>
      </c>
      <c r="O7" s="4">
        <v>0.43</v>
      </c>
      <c r="P7" s="4">
        <v>0.42</v>
      </c>
      <c r="Q7" s="4">
        <v>0.48</v>
      </c>
      <c r="R7" s="4">
        <v>0.44</v>
      </c>
      <c r="S7" s="4">
        <v>0.41</v>
      </c>
      <c r="T7" s="4">
        <v>0.5</v>
      </c>
      <c r="U7" s="4">
        <v>0.42</v>
      </c>
      <c r="V7" s="4">
        <v>0.47</v>
      </c>
      <c r="W7" s="4">
        <v>0.41</v>
      </c>
      <c r="X7" s="4">
        <v>0.41</v>
      </c>
      <c r="Y7" s="4">
        <v>0.48</v>
      </c>
      <c r="Z7" s="4">
        <v>0.5</v>
      </c>
      <c r="AA7" s="4">
        <v>0.43</v>
      </c>
      <c r="AB7" s="4">
        <v>0.42</v>
      </c>
    </row>
    <row r="8" spans="1:28" x14ac:dyDescent="0.25">
      <c r="A8" s="1" t="s">
        <v>71</v>
      </c>
      <c r="B8" s="4">
        <v>0.36</v>
      </c>
      <c r="C8" s="4">
        <v>0.38</v>
      </c>
      <c r="D8" s="4">
        <v>0.36</v>
      </c>
      <c r="E8" s="4">
        <v>0.37</v>
      </c>
      <c r="F8" s="4">
        <v>0.39</v>
      </c>
      <c r="G8" s="4">
        <v>0.38</v>
      </c>
      <c r="H8" s="4">
        <v>0.41</v>
      </c>
      <c r="I8" s="4">
        <v>0.42</v>
      </c>
      <c r="J8" s="4">
        <v>0.4</v>
      </c>
      <c r="K8" s="4">
        <v>0.37</v>
      </c>
      <c r="L8" s="4">
        <v>0.38</v>
      </c>
      <c r="M8" s="4">
        <v>0.39</v>
      </c>
      <c r="N8" s="4">
        <v>0.43</v>
      </c>
      <c r="O8" s="4">
        <v>0.38</v>
      </c>
      <c r="P8" s="4">
        <v>0.38</v>
      </c>
      <c r="Q8" s="4">
        <v>0.42</v>
      </c>
      <c r="R8" s="4">
        <v>0.39</v>
      </c>
      <c r="S8" s="4">
        <v>0.36</v>
      </c>
      <c r="T8" s="4">
        <v>0.44</v>
      </c>
      <c r="U8" s="4">
        <v>0.37</v>
      </c>
      <c r="V8" s="4">
        <v>0.42</v>
      </c>
      <c r="W8" s="4">
        <v>0.37</v>
      </c>
      <c r="X8" s="4">
        <v>0.36</v>
      </c>
      <c r="Y8" s="4">
        <v>0.43</v>
      </c>
      <c r="Z8" s="4">
        <v>0.45</v>
      </c>
      <c r="AA8" s="4">
        <v>0.38</v>
      </c>
      <c r="AB8" s="4">
        <v>0.38</v>
      </c>
    </row>
    <row r="9" spans="1:28" x14ac:dyDescent="0.25">
      <c r="A9" s="1" t="s">
        <v>72</v>
      </c>
      <c r="B9" s="4">
        <v>0.16</v>
      </c>
      <c r="C9" s="4">
        <v>0.17</v>
      </c>
      <c r="D9" s="4">
        <v>0.16</v>
      </c>
      <c r="E9" s="4">
        <v>0.17</v>
      </c>
      <c r="F9" s="4">
        <v>0.18</v>
      </c>
      <c r="G9" s="4">
        <v>0.17</v>
      </c>
      <c r="H9" s="4">
        <v>0.19</v>
      </c>
      <c r="I9" s="4">
        <v>0.19</v>
      </c>
      <c r="J9" s="4">
        <v>0.18</v>
      </c>
      <c r="K9" s="4">
        <v>0.17</v>
      </c>
      <c r="L9" s="4">
        <v>0.17</v>
      </c>
      <c r="M9" s="4">
        <v>0.17</v>
      </c>
      <c r="N9" s="4">
        <v>0.19</v>
      </c>
      <c r="O9" s="4">
        <v>0.17</v>
      </c>
      <c r="P9" s="4">
        <v>0.17</v>
      </c>
      <c r="Q9" s="4">
        <v>0.19</v>
      </c>
      <c r="R9" s="4">
        <v>0.17</v>
      </c>
      <c r="S9" s="4">
        <v>0.16</v>
      </c>
      <c r="T9" s="4">
        <v>0.2</v>
      </c>
      <c r="U9" s="4">
        <v>0.17</v>
      </c>
      <c r="V9" s="4">
        <v>0.19</v>
      </c>
      <c r="W9" s="4">
        <v>0.17</v>
      </c>
      <c r="X9" s="4">
        <v>0.16</v>
      </c>
      <c r="Y9" s="4">
        <v>0.19</v>
      </c>
      <c r="Z9" s="4">
        <v>0.2</v>
      </c>
      <c r="AA9" s="4">
        <v>0.17</v>
      </c>
      <c r="AB9" s="4">
        <v>0.17</v>
      </c>
    </row>
    <row r="10" spans="1:28" x14ac:dyDescent="0.25">
      <c r="A10" s="1" t="s">
        <v>73</v>
      </c>
      <c r="B10" s="4">
        <v>0.32</v>
      </c>
      <c r="C10" s="4">
        <v>0.33</v>
      </c>
      <c r="D10" s="4">
        <v>0.32</v>
      </c>
      <c r="E10" s="4">
        <v>0.33</v>
      </c>
      <c r="F10" s="4">
        <v>0.34</v>
      </c>
      <c r="G10" s="4">
        <v>0.34</v>
      </c>
      <c r="H10" s="4">
        <v>0.36</v>
      </c>
      <c r="I10" s="4">
        <v>0.36</v>
      </c>
      <c r="J10" s="4">
        <v>0.35</v>
      </c>
      <c r="K10" s="4">
        <v>0.32</v>
      </c>
      <c r="L10" s="4">
        <v>0.34</v>
      </c>
      <c r="M10" s="4">
        <v>0.34</v>
      </c>
      <c r="N10" s="4">
        <v>0.38</v>
      </c>
      <c r="O10" s="4">
        <v>0.33</v>
      </c>
      <c r="P10" s="4">
        <v>0.33</v>
      </c>
      <c r="Q10" s="4">
        <v>0.37</v>
      </c>
      <c r="R10" s="4">
        <v>0.34</v>
      </c>
      <c r="S10" s="4">
        <v>0.32</v>
      </c>
      <c r="T10" s="4">
        <v>0.39</v>
      </c>
      <c r="U10" s="4">
        <v>0.33</v>
      </c>
      <c r="V10" s="4">
        <v>0.37</v>
      </c>
      <c r="W10" s="4">
        <v>0.32</v>
      </c>
      <c r="X10" s="4">
        <v>0.32</v>
      </c>
      <c r="Y10" s="4">
        <v>0.37</v>
      </c>
      <c r="Z10" s="4">
        <v>0.39</v>
      </c>
      <c r="AA10" s="4">
        <v>0.33</v>
      </c>
      <c r="AB10" s="4">
        <v>0.33</v>
      </c>
    </row>
    <row r="11" spans="1:28" x14ac:dyDescent="0.25">
      <c r="A11" s="1" t="s">
        <v>74</v>
      </c>
      <c r="B11" s="4">
        <v>0.2</v>
      </c>
      <c r="C11" s="4">
        <v>0.21</v>
      </c>
      <c r="D11" s="4">
        <v>0.2</v>
      </c>
      <c r="E11" s="4">
        <v>0.2</v>
      </c>
      <c r="F11" s="4">
        <v>0.22</v>
      </c>
      <c r="G11" s="4">
        <v>0.21</v>
      </c>
      <c r="H11" s="4">
        <v>0.23</v>
      </c>
      <c r="I11" s="4">
        <v>0.23</v>
      </c>
      <c r="J11" s="4">
        <v>0.22</v>
      </c>
      <c r="K11" s="4">
        <v>0.2</v>
      </c>
      <c r="L11" s="4">
        <v>0.21</v>
      </c>
      <c r="M11" s="4">
        <v>0.21</v>
      </c>
      <c r="N11" s="4">
        <v>0.24</v>
      </c>
      <c r="O11" s="4">
        <v>0.21</v>
      </c>
      <c r="P11" s="4">
        <v>0.21</v>
      </c>
      <c r="Q11" s="4">
        <v>0.23</v>
      </c>
      <c r="R11" s="4">
        <v>0.21</v>
      </c>
      <c r="S11" s="4">
        <v>0.2</v>
      </c>
      <c r="T11" s="4">
        <v>0.24</v>
      </c>
      <c r="U11" s="4">
        <v>0.2</v>
      </c>
      <c r="V11" s="4">
        <v>0.23</v>
      </c>
      <c r="W11" s="4">
        <v>0.2</v>
      </c>
      <c r="X11" s="4">
        <v>0.2</v>
      </c>
      <c r="Y11" s="4">
        <v>0.24</v>
      </c>
      <c r="Z11" s="4">
        <v>0.25</v>
      </c>
      <c r="AA11" s="4">
        <v>0.21</v>
      </c>
      <c r="AB11" s="4">
        <v>0.21</v>
      </c>
    </row>
    <row r="15" spans="1:28" ht="29.25" customHeight="1" x14ac:dyDescent="0.25">
      <c r="A15" s="33" t="s">
        <v>81</v>
      </c>
      <c r="B15" s="34" t="s">
        <v>97</v>
      </c>
      <c r="C15" s="11" t="s">
        <v>98</v>
      </c>
    </row>
    <row r="20" spans="1:1" ht="17.25" x14ac:dyDescent="0.3">
      <c r="A20" s="2" t="s">
        <v>35</v>
      </c>
    </row>
    <row r="22" spans="1:1" x14ac:dyDescent="0.25">
      <c r="A22" t="s">
        <v>93</v>
      </c>
    </row>
    <row r="23" spans="1:1" x14ac:dyDescent="0.25">
      <c r="A23" t="s">
        <v>105</v>
      </c>
    </row>
    <row r="24" spans="1:1" x14ac:dyDescent="0.25">
      <c r="A24" t="s">
        <v>106</v>
      </c>
    </row>
    <row r="25" spans="1:1" x14ac:dyDescent="0.25">
      <c r="A25" t="s">
        <v>87</v>
      </c>
    </row>
    <row r="26" spans="1:1" x14ac:dyDescent="0.25">
      <c r="A26" t="s">
        <v>107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24"/>
  <sheetViews>
    <sheetView workbookViewId="0">
      <selection activeCell="A9" sqref="A9:C9"/>
    </sheetView>
  </sheetViews>
  <sheetFormatPr defaultRowHeight="15" x14ac:dyDescent="0.25"/>
  <cols>
    <col min="1" max="1" width="24" customWidth="1"/>
    <col min="2" max="28" width="16.7109375" customWidth="1"/>
  </cols>
  <sheetData>
    <row r="1" spans="1:28" ht="30" customHeight="1" x14ac:dyDescent="0.25">
      <c r="A1" s="62" t="s">
        <v>210</v>
      </c>
      <c r="B1" s="62"/>
      <c r="C1" s="62"/>
      <c r="D1" s="62"/>
      <c r="E1" s="62"/>
      <c r="F1" s="62"/>
      <c r="G1" s="18"/>
      <c r="H1" s="18"/>
      <c r="I1" s="18"/>
      <c r="J1" s="18"/>
      <c r="K1" s="18"/>
    </row>
    <row r="2" spans="1:28" ht="22.5" customHeight="1" x14ac:dyDescent="0.25">
      <c r="A2" s="28" t="s">
        <v>200</v>
      </c>
    </row>
    <row r="3" spans="1:28" ht="23.25" customHeight="1" x14ac:dyDescent="0.25">
      <c r="A3" s="7" t="s">
        <v>112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  <c r="H3" s="16" t="s">
        <v>8</v>
      </c>
      <c r="I3" s="16" t="s">
        <v>9</v>
      </c>
      <c r="J3" s="16" t="s">
        <v>10</v>
      </c>
      <c r="K3" s="16" t="s">
        <v>11</v>
      </c>
      <c r="L3" s="16" t="s">
        <v>12</v>
      </c>
      <c r="M3" s="16" t="s">
        <v>13</v>
      </c>
      <c r="N3" s="16" t="s">
        <v>14</v>
      </c>
      <c r="O3" s="16" t="s">
        <v>15</v>
      </c>
      <c r="P3" s="16" t="s">
        <v>16</v>
      </c>
      <c r="Q3" s="16" t="s">
        <v>17</v>
      </c>
      <c r="R3" s="16" t="s">
        <v>18</v>
      </c>
      <c r="S3" s="16" t="s">
        <v>19</v>
      </c>
      <c r="T3" s="16" t="s">
        <v>20</v>
      </c>
      <c r="U3" s="16" t="s">
        <v>21</v>
      </c>
      <c r="V3" s="16" t="s">
        <v>22</v>
      </c>
      <c r="W3" s="16" t="s">
        <v>23</v>
      </c>
      <c r="X3" s="16" t="s">
        <v>24</v>
      </c>
      <c r="Y3" s="16" t="s">
        <v>25</v>
      </c>
      <c r="Z3" s="16" t="s">
        <v>26</v>
      </c>
      <c r="AA3" s="16" t="s">
        <v>27</v>
      </c>
      <c r="AB3" s="16" t="s">
        <v>28</v>
      </c>
    </row>
    <row r="4" spans="1:28" x14ac:dyDescent="0.25">
      <c r="A4" s="12" t="s">
        <v>113</v>
      </c>
      <c r="B4" s="4">
        <v>0.77</v>
      </c>
      <c r="C4" s="4">
        <v>0.81</v>
      </c>
      <c r="D4" s="4">
        <v>0.77</v>
      </c>
      <c r="E4" s="4">
        <v>0.79</v>
      </c>
      <c r="F4" s="4">
        <v>0.83</v>
      </c>
      <c r="G4" s="4">
        <v>0.82</v>
      </c>
      <c r="H4" s="4">
        <v>0.9</v>
      </c>
      <c r="I4" s="4">
        <v>0.89</v>
      </c>
      <c r="J4" s="4">
        <v>0.87</v>
      </c>
      <c r="K4" s="4">
        <v>0.77</v>
      </c>
      <c r="L4" s="4">
        <v>0.82</v>
      </c>
      <c r="M4" s="4">
        <v>0.83</v>
      </c>
      <c r="N4" s="4">
        <v>0.94</v>
      </c>
      <c r="O4" s="4">
        <v>0.8</v>
      </c>
      <c r="P4" s="4">
        <v>0.8</v>
      </c>
      <c r="Q4" s="4">
        <v>0.92</v>
      </c>
      <c r="R4" s="4">
        <v>0.82</v>
      </c>
      <c r="S4" s="4">
        <v>0.77</v>
      </c>
      <c r="T4" s="4">
        <v>0.95</v>
      </c>
      <c r="U4" s="4">
        <v>0.79</v>
      </c>
      <c r="V4" s="4">
        <v>0.91</v>
      </c>
      <c r="W4" s="4">
        <v>0.78</v>
      </c>
      <c r="X4" s="4">
        <v>0.77</v>
      </c>
      <c r="Y4" s="4">
        <v>0.93</v>
      </c>
      <c r="Z4" s="4">
        <v>0.98</v>
      </c>
      <c r="AA4" s="4">
        <v>0.82</v>
      </c>
      <c r="AB4" s="4">
        <v>0.81</v>
      </c>
    </row>
    <row r="5" spans="1:28" x14ac:dyDescent="0.25">
      <c r="A5" s="12" t="s">
        <v>116</v>
      </c>
      <c r="B5" s="4">
        <v>2.1800000000000002</v>
      </c>
      <c r="C5" s="4">
        <v>2.2799999999999998</v>
      </c>
      <c r="D5" s="4">
        <v>2.16</v>
      </c>
      <c r="E5" s="4">
        <v>2.23</v>
      </c>
      <c r="F5" s="4">
        <v>2.35</v>
      </c>
      <c r="G5" s="4">
        <v>2.2999999999999998</v>
      </c>
      <c r="H5" s="4">
        <v>2.54</v>
      </c>
      <c r="I5" s="4">
        <v>2.52</v>
      </c>
      <c r="J5" s="4">
        <v>2.4500000000000002</v>
      </c>
      <c r="K5" s="4">
        <v>2.1800000000000002</v>
      </c>
      <c r="L5" s="4">
        <v>2.33</v>
      </c>
      <c r="M5" s="4">
        <v>2.35</v>
      </c>
      <c r="N5" s="4">
        <v>2.64</v>
      </c>
      <c r="O5" s="4">
        <v>2.2599999999999998</v>
      </c>
      <c r="P5" s="4">
        <v>2.2599999999999998</v>
      </c>
      <c r="Q5" s="4">
        <v>2.59</v>
      </c>
      <c r="R5" s="4">
        <v>2.33</v>
      </c>
      <c r="S5" s="4">
        <v>2.16</v>
      </c>
      <c r="T5" s="4">
        <v>2.69</v>
      </c>
      <c r="U5" s="4">
        <v>2.23</v>
      </c>
      <c r="V5" s="4">
        <v>2.57</v>
      </c>
      <c r="W5" s="4">
        <v>2.21</v>
      </c>
      <c r="X5" s="4">
        <v>2.16</v>
      </c>
      <c r="Y5" s="4">
        <v>2.62</v>
      </c>
      <c r="Z5" s="4">
        <v>2.76</v>
      </c>
      <c r="AA5" s="4">
        <v>2.2999999999999998</v>
      </c>
      <c r="AB5" s="4">
        <v>2.2799999999999998</v>
      </c>
    </row>
    <row r="6" spans="1:28" x14ac:dyDescent="0.25">
      <c r="A6" s="12" t="s">
        <v>117</v>
      </c>
      <c r="B6" s="20">
        <v>1.59</v>
      </c>
      <c r="C6" s="20">
        <v>1.66</v>
      </c>
      <c r="D6" s="20">
        <v>1.57</v>
      </c>
      <c r="E6" s="20">
        <v>1.63</v>
      </c>
      <c r="F6" s="20">
        <v>1.71</v>
      </c>
      <c r="G6" s="20">
        <v>1.68</v>
      </c>
      <c r="H6" s="20">
        <v>1.85</v>
      </c>
      <c r="I6" s="20">
        <v>1.84</v>
      </c>
      <c r="J6" s="20">
        <v>1.79</v>
      </c>
      <c r="K6" s="20">
        <v>1.59</v>
      </c>
      <c r="L6" s="20">
        <v>1.7</v>
      </c>
      <c r="M6" s="20">
        <v>1.71</v>
      </c>
      <c r="N6" s="20">
        <v>1.93</v>
      </c>
      <c r="O6" s="20">
        <v>1.65</v>
      </c>
      <c r="P6" s="20">
        <v>1.65</v>
      </c>
      <c r="Q6" s="20">
        <v>1.89</v>
      </c>
      <c r="R6" s="20">
        <v>1.7</v>
      </c>
      <c r="S6" s="20">
        <v>1.57</v>
      </c>
      <c r="T6" s="20">
        <v>1.96</v>
      </c>
      <c r="U6" s="20">
        <v>1.63</v>
      </c>
      <c r="V6" s="20">
        <v>1.87</v>
      </c>
      <c r="W6" s="20">
        <v>1.61</v>
      </c>
      <c r="X6" s="20">
        <v>1.57</v>
      </c>
      <c r="Y6" s="20">
        <v>1.91</v>
      </c>
      <c r="Z6" s="20">
        <v>2.0099999999999998</v>
      </c>
      <c r="AA6" s="20">
        <v>1.68</v>
      </c>
      <c r="AB6" s="20">
        <v>1.66</v>
      </c>
    </row>
    <row r="9" spans="1:28" ht="28.5" customHeight="1" x14ac:dyDescent="0.25">
      <c r="A9" s="33" t="s">
        <v>81</v>
      </c>
      <c r="B9" s="34" t="s">
        <v>114</v>
      </c>
      <c r="C9" s="17" t="s">
        <v>115</v>
      </c>
    </row>
    <row r="14" spans="1:28" ht="17.25" x14ac:dyDescent="0.3">
      <c r="A14" s="21" t="s">
        <v>118</v>
      </c>
    </row>
    <row r="16" spans="1:28" x14ac:dyDescent="0.25">
      <c r="A16" t="s">
        <v>119</v>
      </c>
    </row>
    <row r="17" spans="1:1" x14ac:dyDescent="0.25">
      <c r="A17" t="s">
        <v>120</v>
      </c>
    </row>
    <row r="18" spans="1:1" x14ac:dyDescent="0.25">
      <c r="A18" t="s">
        <v>36</v>
      </c>
    </row>
    <row r="19" spans="1:1" x14ac:dyDescent="0.25">
      <c r="A19" t="s">
        <v>121</v>
      </c>
    </row>
    <row r="20" spans="1:1" x14ac:dyDescent="0.25">
      <c r="A20" t="s">
        <v>122</v>
      </c>
    </row>
    <row r="22" spans="1:1" x14ac:dyDescent="0.25">
      <c r="A22" t="s">
        <v>123</v>
      </c>
    </row>
    <row r="24" spans="1:1" x14ac:dyDescent="0.25">
      <c r="A24" t="s">
        <v>124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2"/>
  <sheetViews>
    <sheetView workbookViewId="0">
      <selection activeCell="G22" sqref="G22"/>
    </sheetView>
  </sheetViews>
  <sheetFormatPr defaultRowHeight="15" x14ac:dyDescent="0.25"/>
  <cols>
    <col min="1" max="1" width="55.140625" bestFit="1" customWidth="1"/>
    <col min="2" max="2" width="15.28515625" bestFit="1" customWidth="1"/>
    <col min="3" max="3" width="21.42578125" bestFit="1" customWidth="1"/>
    <col min="4" max="4" width="15.5703125" bestFit="1" customWidth="1"/>
  </cols>
  <sheetData>
    <row r="1" spans="1:4" ht="18.75" x14ac:dyDescent="0.3">
      <c r="A1" s="15" t="s">
        <v>160</v>
      </c>
    </row>
    <row r="2" spans="1:4" ht="18.75" x14ac:dyDescent="0.3">
      <c r="A2" s="15"/>
    </row>
    <row r="3" spans="1:4" ht="21" x14ac:dyDescent="0.25">
      <c r="A3" s="29" t="s">
        <v>164</v>
      </c>
    </row>
    <row r="4" spans="1:4" ht="18.75" x14ac:dyDescent="0.25">
      <c r="A4" s="19" t="s">
        <v>161</v>
      </c>
    </row>
    <row r="5" spans="1:4" x14ac:dyDescent="0.25">
      <c r="A5" s="22" t="s">
        <v>125</v>
      </c>
      <c r="B5" s="22" t="s">
        <v>126</v>
      </c>
      <c r="C5" s="22" t="s">
        <v>127</v>
      </c>
      <c r="D5" s="22" t="s">
        <v>128</v>
      </c>
    </row>
    <row r="6" spans="1:4" x14ac:dyDescent="0.25">
      <c r="A6" s="12" t="s">
        <v>129</v>
      </c>
      <c r="B6" s="12" t="s">
        <v>130</v>
      </c>
      <c r="C6" s="12" t="s">
        <v>131</v>
      </c>
      <c r="D6" s="12" t="s">
        <v>132</v>
      </c>
    </row>
    <row r="7" spans="1:4" x14ac:dyDescent="0.25">
      <c r="A7" t="s">
        <v>133</v>
      </c>
      <c r="B7" t="s">
        <v>130</v>
      </c>
      <c r="C7" t="s">
        <v>131</v>
      </c>
      <c r="D7" t="s">
        <v>132</v>
      </c>
    </row>
    <row r="8" spans="1:4" x14ac:dyDescent="0.25">
      <c r="A8" t="s">
        <v>134</v>
      </c>
      <c r="B8" t="s">
        <v>130</v>
      </c>
      <c r="C8" t="s">
        <v>131</v>
      </c>
      <c r="D8" t="s">
        <v>135</v>
      </c>
    </row>
    <row r="9" spans="1:4" x14ac:dyDescent="0.25">
      <c r="A9" t="s">
        <v>136</v>
      </c>
      <c r="B9" t="s">
        <v>137</v>
      </c>
      <c r="C9" t="s">
        <v>131</v>
      </c>
      <c r="D9" t="s">
        <v>138</v>
      </c>
    </row>
    <row r="10" spans="1:4" x14ac:dyDescent="0.25">
      <c r="A10" t="s">
        <v>139</v>
      </c>
      <c r="B10" t="s">
        <v>137</v>
      </c>
      <c r="C10" t="s">
        <v>131</v>
      </c>
      <c r="D10" t="s">
        <v>140</v>
      </c>
    </row>
    <row r="11" spans="1:4" x14ac:dyDescent="0.25">
      <c r="A11" t="s">
        <v>162</v>
      </c>
      <c r="B11" t="s">
        <v>137</v>
      </c>
      <c r="C11" t="s">
        <v>131</v>
      </c>
      <c r="D11" t="s">
        <v>140</v>
      </c>
    </row>
    <row r="12" spans="1:4" x14ac:dyDescent="0.25">
      <c r="A12" t="s">
        <v>141</v>
      </c>
      <c r="B12" t="s">
        <v>137</v>
      </c>
      <c r="C12" t="s">
        <v>142</v>
      </c>
      <c r="D12" t="s">
        <v>143</v>
      </c>
    </row>
    <row r="13" spans="1:4" x14ac:dyDescent="0.25">
      <c r="A13" t="s">
        <v>144</v>
      </c>
      <c r="B13" t="s">
        <v>137</v>
      </c>
      <c r="C13" t="s">
        <v>142</v>
      </c>
      <c r="D13" t="s">
        <v>143</v>
      </c>
    </row>
    <row r="14" spans="1:4" x14ac:dyDescent="0.25">
      <c r="A14" t="s">
        <v>145</v>
      </c>
      <c r="B14" t="s">
        <v>146</v>
      </c>
      <c r="C14" t="s">
        <v>142</v>
      </c>
      <c r="D14" t="s">
        <v>147</v>
      </c>
    </row>
    <row r="15" spans="1:4" x14ac:dyDescent="0.25">
      <c r="A15" t="s">
        <v>148</v>
      </c>
      <c r="B15" t="s">
        <v>146</v>
      </c>
      <c r="C15" t="s">
        <v>131</v>
      </c>
      <c r="D15" t="s">
        <v>138</v>
      </c>
    </row>
    <row r="16" spans="1:4" x14ac:dyDescent="0.25">
      <c r="A16" t="s">
        <v>149</v>
      </c>
      <c r="B16" t="s">
        <v>150</v>
      </c>
      <c r="C16" t="s">
        <v>131</v>
      </c>
      <c r="D16" t="s">
        <v>151</v>
      </c>
    </row>
    <row r="17" spans="1:4" x14ac:dyDescent="0.25">
      <c r="A17" t="s">
        <v>152</v>
      </c>
      <c r="B17" t="s">
        <v>153</v>
      </c>
      <c r="C17" t="s">
        <v>142</v>
      </c>
      <c r="D17" t="s">
        <v>143</v>
      </c>
    </row>
    <row r="18" spans="1:4" x14ac:dyDescent="0.25">
      <c r="A18" t="s">
        <v>154</v>
      </c>
      <c r="B18" t="s">
        <v>155</v>
      </c>
      <c r="C18" t="s">
        <v>156</v>
      </c>
      <c r="D18" t="s">
        <v>157</v>
      </c>
    </row>
    <row r="19" spans="1:4" x14ac:dyDescent="0.25">
      <c r="A19" t="s">
        <v>158</v>
      </c>
      <c r="B19" t="s">
        <v>153</v>
      </c>
      <c r="C19" t="s">
        <v>142</v>
      </c>
      <c r="D19" t="s">
        <v>143</v>
      </c>
    </row>
    <row r="20" spans="1:4" x14ac:dyDescent="0.25">
      <c r="A20" t="s">
        <v>159</v>
      </c>
      <c r="B20" t="s">
        <v>146</v>
      </c>
      <c r="C20" t="s">
        <v>142</v>
      </c>
      <c r="D20" t="s">
        <v>147</v>
      </c>
    </row>
    <row r="22" spans="1:4" ht="30.75" customHeight="1" x14ac:dyDescent="0.25">
      <c r="A22" s="33" t="s">
        <v>81</v>
      </c>
      <c r="B22" s="34" t="s">
        <v>114</v>
      </c>
      <c r="C22" s="36" t="s">
        <v>211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24"/>
  <sheetViews>
    <sheetView workbookViewId="0">
      <selection activeCell="K15" sqref="K15"/>
    </sheetView>
  </sheetViews>
  <sheetFormatPr defaultRowHeight="15" x14ac:dyDescent="0.25"/>
  <cols>
    <col min="1" max="1" width="35.5703125" customWidth="1"/>
    <col min="2" max="2" width="14.7109375" customWidth="1"/>
    <col min="3" max="29" width="10.7109375" customWidth="1"/>
  </cols>
  <sheetData>
    <row r="1" spans="1:29" ht="39.75" customHeight="1" x14ac:dyDescent="0.25">
      <c r="A1" s="62" t="s">
        <v>205</v>
      </c>
      <c r="B1" s="62"/>
      <c r="C1" s="61"/>
      <c r="D1" s="61"/>
      <c r="E1" s="61"/>
    </row>
    <row r="2" spans="1:29" ht="18.75" x14ac:dyDescent="0.25">
      <c r="A2" s="30"/>
      <c r="B2" s="30"/>
    </row>
    <row r="3" spans="1:29" ht="20.25" customHeight="1" x14ac:dyDescent="0.25">
      <c r="A3" s="7" t="s">
        <v>206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</row>
    <row r="4" spans="1:29" ht="20.25" customHeight="1" x14ac:dyDescent="0.25">
      <c r="A4" s="35" t="s">
        <v>201</v>
      </c>
      <c r="B4" t="s">
        <v>208</v>
      </c>
      <c r="C4" s="32">
        <f>'CUSTO RSU'!B8/1000</f>
        <v>0.34499999999999997</v>
      </c>
      <c r="D4" s="32">
        <f>'CUSTO RSU'!C8/1000</f>
        <v>0.35625000000000001</v>
      </c>
      <c r="E4" s="32">
        <f>'CUSTO RSU'!D8/1000</f>
        <v>0.35625000000000001</v>
      </c>
      <c r="F4" s="32">
        <f>'CUSTO RSU'!E8/1000</f>
        <v>0.39</v>
      </c>
      <c r="G4" s="32">
        <f>'CUSTO RSU'!F8/1000</f>
        <v>0.36749999999999999</v>
      </c>
      <c r="H4" s="32">
        <f>'CUSTO RSU'!G8/1000</f>
        <v>0.36</v>
      </c>
      <c r="I4" s="32">
        <f>'CUSTO RSU'!H8/1000</f>
        <v>0.42</v>
      </c>
      <c r="J4" s="32">
        <f>'CUSTO RSU'!I8/1000</f>
        <v>0.39374999999999999</v>
      </c>
      <c r="K4" s="32">
        <f>'CUSTO RSU'!J8/1000</f>
        <v>0.38250000000000001</v>
      </c>
      <c r="L4" s="32">
        <f>'CUSTO RSU'!K8/1000</f>
        <v>0.34125</v>
      </c>
      <c r="M4" s="32">
        <f>'CUSTO RSU'!L8/1000</f>
        <v>0.36749999999999999</v>
      </c>
      <c r="N4" s="32">
        <f>'CUSTO RSU'!M8/1000</f>
        <v>0.37125000000000002</v>
      </c>
      <c r="O4" s="32">
        <f>'CUSTO RSU'!N8/1000</f>
        <v>0.41249999999999998</v>
      </c>
      <c r="P4" s="32">
        <f>'CUSTO RSU'!O8/1000</f>
        <v>0.35625000000000001</v>
      </c>
      <c r="Q4" s="32">
        <f>'CUSTO RSU'!P8/1000</f>
        <v>0.35249999999999998</v>
      </c>
      <c r="R4" s="32">
        <f>'CUSTO RSU'!Q8/1000</f>
        <v>0.40500000000000003</v>
      </c>
      <c r="S4" s="32">
        <f>'CUSTO RSU'!R8/1000</f>
        <v>0.36375000000000002</v>
      </c>
      <c r="T4" s="32">
        <f>'CUSTO RSU'!S8/1000</f>
        <v>0.33750000000000002</v>
      </c>
      <c r="U4" s="32">
        <f>'CUSTO RSU'!T8/1000</f>
        <v>0.43125000000000002</v>
      </c>
      <c r="V4" s="32">
        <f>'CUSTO RSU'!U8/1000</f>
        <v>0.34875</v>
      </c>
      <c r="W4" s="32">
        <f>'CUSTO RSU'!V8/1000</f>
        <v>0.40125</v>
      </c>
      <c r="X4" s="32">
        <f>'CUSTO RSU'!W8/1000</f>
        <v>0.34875</v>
      </c>
      <c r="Y4" s="32">
        <f>'CUSTO RSU'!X8/1000</f>
        <v>0.35249999999999998</v>
      </c>
      <c r="Z4" s="32">
        <f>'CUSTO RSU'!Y8/1000</f>
        <v>0.40875</v>
      </c>
      <c r="AA4" s="32">
        <f>'CUSTO RSU'!Z8/1000</f>
        <v>0.4425</v>
      </c>
      <c r="AB4" s="32">
        <f>'CUSTO RSU'!AA8/1000</f>
        <v>0.36</v>
      </c>
      <c r="AC4" s="32">
        <f>'CUSTO RSU'!AB8/1000</f>
        <v>0.36</v>
      </c>
    </row>
    <row r="5" spans="1:29" x14ac:dyDescent="0.25">
      <c r="A5" s="1"/>
      <c r="B5" s="1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x14ac:dyDescent="0.25">
      <c r="A6" s="1"/>
      <c r="B6" s="1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x14ac:dyDescent="0.25">
      <c r="A7" s="1"/>
      <c r="B7" s="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x14ac:dyDescent="0.25">
      <c r="A8" s="1"/>
      <c r="B8" s="1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x14ac:dyDescent="0.25">
      <c r="A9" s="16" t="s">
        <v>202</v>
      </c>
      <c r="B9" s="1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x14ac:dyDescent="0.25">
      <c r="A10" s="12" t="s">
        <v>204</v>
      </c>
    </row>
    <row r="13" spans="1:29" ht="29.25" customHeight="1" x14ac:dyDescent="0.25">
      <c r="A13" s="33" t="s">
        <v>81</v>
      </c>
      <c r="B13" s="34" t="s">
        <v>201</v>
      </c>
      <c r="C13" s="31" t="s">
        <v>203</v>
      </c>
    </row>
    <row r="17" spans="1:2" ht="17.25" x14ac:dyDescent="0.3">
      <c r="A17" s="63" t="s">
        <v>80</v>
      </c>
      <c r="B17" s="63"/>
    </row>
    <row r="19" spans="1:2" x14ac:dyDescent="0.25">
      <c r="A19" t="s">
        <v>99</v>
      </c>
    </row>
    <row r="20" spans="1:2" x14ac:dyDescent="0.25">
      <c r="A20" t="s">
        <v>100</v>
      </c>
    </row>
    <row r="21" spans="1:2" x14ac:dyDescent="0.25">
      <c r="A21" t="s">
        <v>207</v>
      </c>
    </row>
    <row r="22" spans="1:2" x14ac:dyDescent="0.25">
      <c r="A22" t="s">
        <v>102</v>
      </c>
    </row>
    <row r="23" spans="1:2" x14ac:dyDescent="0.25">
      <c r="A23" t="s">
        <v>103</v>
      </c>
    </row>
    <row r="24" spans="1:2" x14ac:dyDescent="0.25">
      <c r="A24" t="s">
        <v>104</v>
      </c>
    </row>
  </sheetData>
  <mergeCells count="2">
    <mergeCell ref="A1:E1"/>
    <mergeCell ref="A17:B17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0"/>
  <sheetViews>
    <sheetView workbookViewId="0">
      <selection activeCell="E25" sqref="E25"/>
    </sheetView>
  </sheetViews>
  <sheetFormatPr defaultRowHeight="15" x14ac:dyDescent="0.25"/>
  <cols>
    <col min="1" max="1" width="28.7109375" bestFit="1" customWidth="1"/>
    <col min="2" max="28" width="16.7109375" customWidth="1"/>
  </cols>
  <sheetData>
    <row r="1" spans="1:28" ht="30" customHeight="1" x14ac:dyDescent="0.25">
      <c r="A1" s="61" t="s">
        <v>75</v>
      </c>
      <c r="B1" s="61"/>
      <c r="C1" s="61"/>
    </row>
    <row r="3" spans="1:28" ht="21" customHeight="1" x14ac:dyDescent="0.25">
      <c r="A3" s="7" t="s">
        <v>76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</row>
    <row r="4" spans="1:28" x14ac:dyDescent="0.25">
      <c r="A4" s="1" t="s">
        <v>77</v>
      </c>
      <c r="B4" s="4">
        <v>170.2</v>
      </c>
      <c r="C4" s="4">
        <v>175.75</v>
      </c>
      <c r="D4" s="4">
        <v>175.75</v>
      </c>
      <c r="E4" s="4">
        <v>192.4</v>
      </c>
      <c r="F4" s="4">
        <v>181.3</v>
      </c>
      <c r="G4" s="4">
        <v>177.6</v>
      </c>
      <c r="H4" s="4">
        <v>207.2</v>
      </c>
      <c r="I4" s="4">
        <v>194.25</v>
      </c>
      <c r="J4" s="4">
        <v>188.7</v>
      </c>
      <c r="K4" s="4">
        <v>168.35</v>
      </c>
      <c r="L4" s="4">
        <v>181.3</v>
      </c>
      <c r="M4" s="4">
        <v>183.15</v>
      </c>
      <c r="N4" s="4">
        <v>203.5</v>
      </c>
      <c r="O4" s="4">
        <v>175.75</v>
      </c>
      <c r="P4" s="4">
        <v>173.9</v>
      </c>
      <c r="Q4" s="4">
        <v>199.8</v>
      </c>
      <c r="R4" s="4">
        <v>179.45</v>
      </c>
      <c r="S4" s="4">
        <v>166.5</v>
      </c>
      <c r="T4" s="4">
        <v>212.75</v>
      </c>
      <c r="U4" s="4">
        <v>172.05</v>
      </c>
      <c r="V4" s="4">
        <v>197.95</v>
      </c>
      <c r="W4" s="4">
        <v>172.05</v>
      </c>
      <c r="X4" s="4">
        <v>173.9</v>
      </c>
      <c r="Y4" s="4">
        <v>201.65</v>
      </c>
      <c r="Z4" s="4">
        <v>218.3</v>
      </c>
      <c r="AA4" s="4">
        <v>177.6</v>
      </c>
      <c r="AB4" s="4">
        <v>177.6</v>
      </c>
    </row>
    <row r="5" spans="1:28" x14ac:dyDescent="0.25">
      <c r="A5" s="1" t="s">
        <v>78</v>
      </c>
      <c r="B5" s="4">
        <v>66.239999999999995</v>
      </c>
      <c r="C5" s="4">
        <v>68.400000000000006</v>
      </c>
      <c r="D5" s="4">
        <v>68.400000000000006</v>
      </c>
      <c r="E5" s="4">
        <v>74.88</v>
      </c>
      <c r="F5" s="4">
        <v>70.56</v>
      </c>
      <c r="G5" s="4">
        <v>69.12</v>
      </c>
      <c r="H5" s="4">
        <v>80.64</v>
      </c>
      <c r="I5" s="4">
        <v>75.599999999999994</v>
      </c>
      <c r="J5" s="4">
        <v>73.44</v>
      </c>
      <c r="K5" s="4">
        <v>65.52</v>
      </c>
      <c r="L5" s="4">
        <v>70.56</v>
      </c>
      <c r="M5" s="4">
        <v>71.28</v>
      </c>
      <c r="N5" s="4">
        <v>79.2</v>
      </c>
      <c r="O5" s="4">
        <v>68.400000000000006</v>
      </c>
      <c r="P5" s="4">
        <v>67.680000000000007</v>
      </c>
      <c r="Q5" s="4">
        <v>77.760000000000005</v>
      </c>
      <c r="R5" s="4">
        <v>69.84</v>
      </c>
      <c r="S5" s="4">
        <v>64.8</v>
      </c>
      <c r="T5" s="4">
        <v>82.8</v>
      </c>
      <c r="U5" s="4">
        <v>66.959999999999994</v>
      </c>
      <c r="V5" s="4">
        <v>77.040000000000006</v>
      </c>
      <c r="W5" s="4">
        <v>66.959999999999994</v>
      </c>
      <c r="X5" s="4">
        <v>67.680000000000007</v>
      </c>
      <c r="Y5" s="4">
        <v>78.48</v>
      </c>
      <c r="Z5" s="4">
        <v>84.96</v>
      </c>
      <c r="AA5" s="4">
        <v>69.12</v>
      </c>
      <c r="AB5" s="4">
        <v>69.12</v>
      </c>
    </row>
    <row r="6" spans="1:28" x14ac:dyDescent="0.25">
      <c r="A6" s="1" t="s">
        <v>79</v>
      </c>
      <c r="B6" s="4">
        <v>108.56</v>
      </c>
      <c r="C6" s="4">
        <v>112.1</v>
      </c>
      <c r="D6" s="4">
        <v>112.1</v>
      </c>
      <c r="E6" s="4">
        <v>122.72</v>
      </c>
      <c r="F6" s="4">
        <v>115.64</v>
      </c>
      <c r="G6" s="4">
        <v>113.28</v>
      </c>
      <c r="H6" s="4">
        <v>132.16</v>
      </c>
      <c r="I6" s="4">
        <v>123.9</v>
      </c>
      <c r="J6" s="4">
        <v>120.36</v>
      </c>
      <c r="K6" s="4">
        <v>107.38</v>
      </c>
      <c r="L6" s="4">
        <v>115.64</v>
      </c>
      <c r="M6" s="4">
        <v>116.82</v>
      </c>
      <c r="N6" s="4">
        <v>129.80000000000001</v>
      </c>
      <c r="O6" s="4">
        <v>112.1</v>
      </c>
      <c r="P6" s="4">
        <v>110.92</v>
      </c>
      <c r="Q6" s="4">
        <v>127.44</v>
      </c>
      <c r="R6" s="4">
        <v>114.46</v>
      </c>
      <c r="S6" s="4">
        <v>106.2</v>
      </c>
      <c r="T6" s="4">
        <v>135.69999999999999</v>
      </c>
      <c r="U6" s="4">
        <v>109.74</v>
      </c>
      <c r="V6" s="4">
        <v>126.26</v>
      </c>
      <c r="W6" s="4">
        <v>109.74</v>
      </c>
      <c r="X6" s="4">
        <v>110.92</v>
      </c>
      <c r="Y6" s="4">
        <v>128.62</v>
      </c>
      <c r="Z6" s="4">
        <v>139.24</v>
      </c>
      <c r="AA6" s="4">
        <v>113.28</v>
      </c>
      <c r="AB6" s="4">
        <v>113.28</v>
      </c>
    </row>
    <row r="7" spans="1:28" x14ac:dyDescent="0.25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x14ac:dyDescent="0.25">
      <c r="A8" s="14" t="s">
        <v>209</v>
      </c>
      <c r="B8" s="13">
        <f t="shared" ref="B8:AB8" si="0">SUM(B4:B6)</f>
        <v>345</v>
      </c>
      <c r="C8" s="13">
        <f t="shared" si="0"/>
        <v>356.25</v>
      </c>
      <c r="D8" s="13">
        <f t="shared" si="0"/>
        <v>356.25</v>
      </c>
      <c r="E8" s="13">
        <f t="shared" si="0"/>
        <v>390</v>
      </c>
      <c r="F8" s="13">
        <f t="shared" si="0"/>
        <v>367.5</v>
      </c>
      <c r="G8" s="13">
        <f t="shared" si="0"/>
        <v>360</v>
      </c>
      <c r="H8" s="13">
        <f t="shared" si="0"/>
        <v>420</v>
      </c>
      <c r="I8" s="13">
        <f t="shared" si="0"/>
        <v>393.75</v>
      </c>
      <c r="J8" s="13">
        <f t="shared" si="0"/>
        <v>382.5</v>
      </c>
      <c r="K8" s="13">
        <f t="shared" si="0"/>
        <v>341.25</v>
      </c>
      <c r="L8" s="13">
        <f t="shared" si="0"/>
        <v>367.5</v>
      </c>
      <c r="M8" s="13">
        <f t="shared" si="0"/>
        <v>371.25</v>
      </c>
      <c r="N8" s="13">
        <f t="shared" si="0"/>
        <v>412.5</v>
      </c>
      <c r="O8" s="13">
        <f t="shared" si="0"/>
        <v>356.25</v>
      </c>
      <c r="P8" s="13">
        <f t="shared" si="0"/>
        <v>352.5</v>
      </c>
      <c r="Q8" s="13">
        <f t="shared" si="0"/>
        <v>405</v>
      </c>
      <c r="R8" s="13">
        <f t="shared" si="0"/>
        <v>363.75</v>
      </c>
      <c r="S8" s="13">
        <f t="shared" si="0"/>
        <v>337.5</v>
      </c>
      <c r="T8" s="13">
        <f t="shared" si="0"/>
        <v>431.25</v>
      </c>
      <c r="U8" s="13">
        <f t="shared" si="0"/>
        <v>348.75</v>
      </c>
      <c r="V8" s="13">
        <f t="shared" si="0"/>
        <v>401.25</v>
      </c>
      <c r="W8" s="13">
        <f t="shared" si="0"/>
        <v>348.75</v>
      </c>
      <c r="X8" s="13">
        <f t="shared" si="0"/>
        <v>352.5</v>
      </c>
      <c r="Y8" s="13">
        <f t="shared" si="0"/>
        <v>408.75</v>
      </c>
      <c r="Z8" s="13">
        <f t="shared" si="0"/>
        <v>442.5</v>
      </c>
      <c r="AA8" s="13">
        <f t="shared" si="0"/>
        <v>360</v>
      </c>
      <c r="AB8" s="13">
        <f t="shared" si="0"/>
        <v>360</v>
      </c>
    </row>
    <row r="13" spans="1:28" ht="17.25" x14ac:dyDescent="0.3">
      <c r="A13" s="63" t="s">
        <v>80</v>
      </c>
      <c r="B13" s="63"/>
    </row>
    <row r="15" spans="1:28" x14ac:dyDescent="0.25">
      <c r="A15" t="s">
        <v>99</v>
      </c>
    </row>
    <row r="16" spans="1:28" x14ac:dyDescent="0.25">
      <c r="A16" t="s">
        <v>100</v>
      </c>
    </row>
    <row r="17" spans="1:1" x14ac:dyDescent="0.25">
      <c r="A17" t="s">
        <v>101</v>
      </c>
    </row>
    <row r="18" spans="1:1" x14ac:dyDescent="0.25">
      <c r="A18" t="s">
        <v>102</v>
      </c>
    </row>
    <row r="19" spans="1:1" x14ac:dyDescent="0.25">
      <c r="A19" t="s">
        <v>103</v>
      </c>
    </row>
    <row r="20" spans="1:1" x14ac:dyDescent="0.25">
      <c r="A20" t="s">
        <v>104</v>
      </c>
    </row>
  </sheetData>
  <mergeCells count="2">
    <mergeCell ref="A1:C1"/>
    <mergeCell ref="A13:B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9"/>
  <sheetViews>
    <sheetView workbookViewId="0">
      <selection activeCell="F23" sqref="F23"/>
    </sheetView>
  </sheetViews>
  <sheetFormatPr defaultRowHeight="15" x14ac:dyDescent="0.25"/>
  <cols>
    <col min="1" max="1" width="36.28515625" customWidth="1"/>
    <col min="2" max="2" width="17.28515625" customWidth="1"/>
    <col min="3" max="3" width="25.140625" customWidth="1"/>
    <col min="4" max="4" width="20" customWidth="1"/>
  </cols>
  <sheetData>
    <row r="1" spans="1:7" ht="30" customHeight="1" x14ac:dyDescent="0.25">
      <c r="A1" s="64" t="s">
        <v>163</v>
      </c>
      <c r="B1" s="64"/>
      <c r="C1" s="64"/>
      <c r="D1" s="64"/>
      <c r="E1" s="64"/>
      <c r="F1" s="64"/>
      <c r="G1" s="64"/>
    </row>
    <row r="3" spans="1:7" ht="21" x14ac:dyDescent="0.35">
      <c r="A3" s="24" t="s">
        <v>164</v>
      </c>
      <c r="B3" s="25" t="s">
        <v>165</v>
      </c>
    </row>
    <row r="5" spans="1:7" ht="15.75" x14ac:dyDescent="0.25">
      <c r="A5" s="23" t="s">
        <v>125</v>
      </c>
      <c r="B5" s="23" t="s">
        <v>126</v>
      </c>
      <c r="C5" s="23" t="s">
        <v>127</v>
      </c>
      <c r="D5" s="23" t="s">
        <v>128</v>
      </c>
    </row>
    <row r="6" spans="1:7" x14ac:dyDescent="0.25">
      <c r="A6" s="12" t="s">
        <v>129</v>
      </c>
      <c r="B6" s="12" t="s">
        <v>130</v>
      </c>
      <c r="C6" s="12" t="s">
        <v>131</v>
      </c>
      <c r="D6" s="12" t="s">
        <v>132</v>
      </c>
    </row>
    <row r="7" spans="1:7" x14ac:dyDescent="0.25">
      <c r="A7" t="s">
        <v>133</v>
      </c>
      <c r="B7" t="s">
        <v>130</v>
      </c>
      <c r="C7" t="s">
        <v>131</v>
      </c>
      <c r="D7" t="s">
        <v>132</v>
      </c>
    </row>
    <row r="8" spans="1:7" x14ac:dyDescent="0.25">
      <c r="A8" t="s">
        <v>134</v>
      </c>
      <c r="B8" t="s">
        <v>130</v>
      </c>
      <c r="C8" t="s">
        <v>131</v>
      </c>
      <c r="D8" t="s">
        <v>135</v>
      </c>
    </row>
    <row r="9" spans="1:7" x14ac:dyDescent="0.25">
      <c r="A9" t="s">
        <v>136</v>
      </c>
      <c r="B9" t="s">
        <v>137</v>
      </c>
      <c r="C9" t="s">
        <v>131</v>
      </c>
      <c r="D9" t="s">
        <v>138</v>
      </c>
    </row>
    <row r="10" spans="1:7" x14ac:dyDescent="0.25">
      <c r="A10" t="s">
        <v>139</v>
      </c>
      <c r="B10" t="s">
        <v>137</v>
      </c>
      <c r="C10" t="s">
        <v>131</v>
      </c>
      <c r="D10" t="s">
        <v>140</v>
      </c>
    </row>
    <row r="11" spans="1:7" x14ac:dyDescent="0.25">
      <c r="A11" t="s">
        <v>141</v>
      </c>
      <c r="B11" t="s">
        <v>137</v>
      </c>
      <c r="C11" t="s">
        <v>142</v>
      </c>
      <c r="D11" t="s">
        <v>143</v>
      </c>
    </row>
    <row r="12" spans="1:7" x14ac:dyDescent="0.25">
      <c r="A12" t="s">
        <v>144</v>
      </c>
      <c r="B12" t="s">
        <v>137</v>
      </c>
      <c r="C12" t="s">
        <v>142</v>
      </c>
      <c r="D12" t="s">
        <v>143</v>
      </c>
    </row>
    <row r="13" spans="1:7" x14ac:dyDescent="0.25">
      <c r="A13" t="s">
        <v>145</v>
      </c>
      <c r="B13" t="s">
        <v>146</v>
      </c>
      <c r="C13" t="s">
        <v>142</v>
      </c>
      <c r="D13" t="s">
        <v>147</v>
      </c>
    </row>
    <row r="14" spans="1:7" x14ac:dyDescent="0.25">
      <c r="A14" t="s">
        <v>148</v>
      </c>
      <c r="B14" t="s">
        <v>146</v>
      </c>
      <c r="C14" t="s">
        <v>131</v>
      </c>
      <c r="D14" t="s">
        <v>138</v>
      </c>
    </row>
    <row r="15" spans="1:7" x14ac:dyDescent="0.25">
      <c r="A15" t="s">
        <v>149</v>
      </c>
      <c r="B15" t="s">
        <v>150</v>
      </c>
      <c r="C15" t="s">
        <v>131</v>
      </c>
      <c r="D15" t="s">
        <v>151</v>
      </c>
    </row>
    <row r="16" spans="1:7" x14ac:dyDescent="0.25">
      <c r="A16" t="s">
        <v>152</v>
      </c>
      <c r="B16" t="s">
        <v>153</v>
      </c>
      <c r="C16" t="s">
        <v>142</v>
      </c>
      <c r="D16" t="s">
        <v>143</v>
      </c>
    </row>
    <row r="17" spans="1:4" x14ac:dyDescent="0.25">
      <c r="A17" t="s">
        <v>154</v>
      </c>
      <c r="B17" t="s">
        <v>155</v>
      </c>
      <c r="C17" t="s">
        <v>156</v>
      </c>
      <c r="D17" t="s">
        <v>157</v>
      </c>
    </row>
    <row r="18" spans="1:4" x14ac:dyDescent="0.25">
      <c r="A18" t="s">
        <v>158</v>
      </c>
      <c r="B18" t="s">
        <v>153</v>
      </c>
      <c r="C18" t="s">
        <v>142</v>
      </c>
      <c r="D18" t="s">
        <v>143</v>
      </c>
    </row>
    <row r="19" spans="1:4" x14ac:dyDescent="0.25">
      <c r="A19" t="s">
        <v>159</v>
      </c>
      <c r="B19" t="s">
        <v>146</v>
      </c>
      <c r="C19" t="s">
        <v>142</v>
      </c>
      <c r="D19" t="s">
        <v>147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3"/>
  <sheetViews>
    <sheetView workbookViewId="0">
      <selection activeCell="A3" sqref="A3"/>
    </sheetView>
  </sheetViews>
  <sheetFormatPr defaultRowHeight="15" x14ac:dyDescent="0.25"/>
  <cols>
    <col min="1" max="1" width="58.7109375" bestFit="1" customWidth="1"/>
    <col min="2" max="2" width="20.7109375" customWidth="1"/>
    <col min="3" max="3" width="28.42578125" customWidth="1"/>
    <col min="4" max="4" width="15.5703125" bestFit="1" customWidth="1"/>
  </cols>
  <sheetData>
    <row r="1" spans="1:7" ht="34.5" customHeight="1" x14ac:dyDescent="0.25">
      <c r="A1" s="64" t="s">
        <v>163</v>
      </c>
      <c r="B1" s="64"/>
      <c r="C1" s="64"/>
      <c r="D1" s="64"/>
      <c r="E1" s="64"/>
      <c r="F1" s="64"/>
      <c r="G1" s="64"/>
    </row>
    <row r="3" spans="1:7" ht="21" x14ac:dyDescent="0.35">
      <c r="A3" s="24" t="s">
        <v>178</v>
      </c>
      <c r="B3" s="25" t="s">
        <v>179</v>
      </c>
    </row>
    <row r="5" spans="1:7" ht="18.75" x14ac:dyDescent="0.3">
      <c r="A5" s="15" t="s">
        <v>197</v>
      </c>
    </row>
    <row r="6" spans="1:7" ht="22.5" customHeight="1" x14ac:dyDescent="0.25">
      <c r="A6" s="26" t="s">
        <v>125</v>
      </c>
      <c r="B6" s="26" t="s">
        <v>126</v>
      </c>
      <c r="C6" s="26" t="s">
        <v>127</v>
      </c>
      <c r="D6" s="26" t="s">
        <v>128</v>
      </c>
    </row>
    <row r="7" spans="1:7" x14ac:dyDescent="0.25">
      <c r="A7" s="12" t="s">
        <v>180</v>
      </c>
      <c r="B7" s="12" t="s">
        <v>166</v>
      </c>
      <c r="C7" s="12" t="s">
        <v>167</v>
      </c>
      <c r="D7" s="12" t="s">
        <v>143</v>
      </c>
    </row>
    <row r="8" spans="1:7" x14ac:dyDescent="0.25">
      <c r="A8" t="s">
        <v>168</v>
      </c>
      <c r="B8" t="s">
        <v>169</v>
      </c>
      <c r="C8" t="s">
        <v>170</v>
      </c>
      <c r="D8" t="s">
        <v>138</v>
      </c>
    </row>
    <row r="9" spans="1:7" x14ac:dyDescent="0.25">
      <c r="A9" t="s">
        <v>171</v>
      </c>
      <c r="B9" t="s">
        <v>169</v>
      </c>
      <c r="C9" t="s">
        <v>170</v>
      </c>
      <c r="D9" t="s">
        <v>138</v>
      </c>
    </row>
    <row r="10" spans="1:7" x14ac:dyDescent="0.25">
      <c r="A10" t="s">
        <v>172</v>
      </c>
      <c r="B10" t="s">
        <v>155</v>
      </c>
      <c r="C10" t="s">
        <v>173</v>
      </c>
      <c r="D10" t="s">
        <v>174</v>
      </c>
    </row>
    <row r="11" spans="1:7" x14ac:dyDescent="0.25">
      <c r="A11" t="s">
        <v>175</v>
      </c>
      <c r="B11" t="s">
        <v>169</v>
      </c>
      <c r="C11" t="s">
        <v>176</v>
      </c>
      <c r="D11" t="s">
        <v>138</v>
      </c>
    </row>
    <row r="12" spans="1:7" x14ac:dyDescent="0.25">
      <c r="A12" t="s">
        <v>116</v>
      </c>
      <c r="B12" t="s">
        <v>169</v>
      </c>
      <c r="C12" t="s">
        <v>176</v>
      </c>
      <c r="D12" t="s">
        <v>138</v>
      </c>
    </row>
    <row r="13" spans="1:7" x14ac:dyDescent="0.25">
      <c r="A13" t="s">
        <v>177</v>
      </c>
      <c r="B13" t="s">
        <v>169</v>
      </c>
      <c r="C13" t="s">
        <v>176</v>
      </c>
      <c r="D13" t="s">
        <v>138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1"/>
  <sheetViews>
    <sheetView workbookViewId="0">
      <selection activeCell="A5" sqref="A5"/>
    </sheetView>
  </sheetViews>
  <sheetFormatPr defaultRowHeight="15" x14ac:dyDescent="0.25"/>
  <cols>
    <col min="1" max="1" width="58.140625" customWidth="1"/>
    <col min="2" max="2" width="16.42578125" customWidth="1"/>
    <col min="3" max="3" width="21.42578125" bestFit="1" customWidth="1"/>
    <col min="4" max="4" width="17.42578125" customWidth="1"/>
  </cols>
  <sheetData>
    <row r="1" spans="1:7" ht="34.5" customHeight="1" x14ac:dyDescent="0.25">
      <c r="A1" s="64" t="s">
        <v>163</v>
      </c>
      <c r="B1" s="64"/>
      <c r="C1" s="64"/>
      <c r="D1" s="64"/>
      <c r="E1" s="64"/>
      <c r="F1" s="64"/>
      <c r="G1" s="64"/>
    </row>
    <row r="3" spans="1:7" ht="21" x14ac:dyDescent="0.35">
      <c r="A3" s="24" t="s">
        <v>186</v>
      </c>
      <c r="B3" s="25" t="s">
        <v>185</v>
      </c>
    </row>
    <row r="5" spans="1:7" ht="18.75" x14ac:dyDescent="0.3">
      <c r="A5" s="15" t="s">
        <v>198</v>
      </c>
    </row>
    <row r="6" spans="1:7" ht="21.75" customHeight="1" x14ac:dyDescent="0.3">
      <c r="A6" s="27" t="s">
        <v>125</v>
      </c>
      <c r="B6" s="27" t="s">
        <v>126</v>
      </c>
      <c r="C6" s="27" t="s">
        <v>127</v>
      </c>
      <c r="D6" s="27" t="s">
        <v>128</v>
      </c>
    </row>
    <row r="7" spans="1:7" x14ac:dyDescent="0.25">
      <c r="A7" s="12" t="s">
        <v>181</v>
      </c>
      <c r="B7" s="12" t="s">
        <v>181</v>
      </c>
      <c r="C7" s="12" t="s">
        <v>167</v>
      </c>
      <c r="D7" s="12" t="s">
        <v>143</v>
      </c>
    </row>
    <row r="8" spans="1:7" x14ac:dyDescent="0.25">
      <c r="A8" t="s">
        <v>182</v>
      </c>
      <c r="B8" t="s">
        <v>182</v>
      </c>
      <c r="C8" t="s">
        <v>167</v>
      </c>
      <c r="D8" t="s">
        <v>143</v>
      </c>
    </row>
    <row r="9" spans="1:7" x14ac:dyDescent="0.25">
      <c r="A9" t="s">
        <v>187</v>
      </c>
      <c r="B9" t="s">
        <v>182</v>
      </c>
      <c r="C9" t="s">
        <v>173</v>
      </c>
      <c r="D9" t="s">
        <v>143</v>
      </c>
    </row>
    <row r="10" spans="1:7" x14ac:dyDescent="0.25">
      <c r="A10" t="s">
        <v>188</v>
      </c>
      <c r="B10" t="s">
        <v>183</v>
      </c>
      <c r="C10" t="s">
        <v>167</v>
      </c>
      <c r="D10" t="s">
        <v>143</v>
      </c>
    </row>
    <row r="11" spans="1:7" x14ac:dyDescent="0.25">
      <c r="A11" t="s">
        <v>184</v>
      </c>
      <c r="B11" t="s">
        <v>155</v>
      </c>
      <c r="C11" t="s">
        <v>167</v>
      </c>
      <c r="D11" t="s">
        <v>174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9"/>
  <sheetViews>
    <sheetView workbookViewId="0">
      <selection activeCell="A23" sqref="A23"/>
    </sheetView>
  </sheetViews>
  <sheetFormatPr defaultRowHeight="15" x14ac:dyDescent="0.25"/>
  <cols>
    <col min="1" max="1" width="59.140625" bestFit="1" customWidth="1"/>
  </cols>
  <sheetData>
    <row r="1" spans="1:1" ht="17.25" x14ac:dyDescent="0.3">
      <c r="A1" s="21" t="s">
        <v>189</v>
      </c>
    </row>
    <row r="3" spans="1:1" x14ac:dyDescent="0.25">
      <c r="A3" t="s">
        <v>190</v>
      </c>
    </row>
    <row r="4" spans="1:1" x14ac:dyDescent="0.25">
      <c r="A4" t="s">
        <v>191</v>
      </c>
    </row>
    <row r="5" spans="1:1" x14ac:dyDescent="0.25">
      <c r="A5" t="s">
        <v>192</v>
      </c>
    </row>
    <row r="6" spans="1:1" x14ac:dyDescent="0.25">
      <c r="A6" t="s">
        <v>193</v>
      </c>
    </row>
    <row r="7" spans="1:1" x14ac:dyDescent="0.25">
      <c r="A7" t="s">
        <v>194</v>
      </c>
    </row>
    <row r="8" spans="1:1" x14ac:dyDescent="0.25">
      <c r="A8" t="s">
        <v>195</v>
      </c>
    </row>
    <row r="9" spans="1:1" x14ac:dyDescent="0.25">
      <c r="A9" t="s">
        <v>196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METAL</vt:lpstr>
      <vt:lpstr>PLÁSTICO</vt:lpstr>
      <vt:lpstr>Plan1</vt:lpstr>
      <vt:lpstr>PAPEL</vt:lpstr>
      <vt:lpstr>VIDRO</vt:lpstr>
      <vt:lpstr>ORGÂNICO</vt:lpstr>
      <vt:lpstr>PERIGOSO</vt:lpstr>
      <vt:lpstr>REJEITO</vt:lpstr>
      <vt:lpstr>CUSTO RSU</vt:lpstr>
      <vt:lpstr>CLASSE I</vt:lpstr>
      <vt:lpstr>CLASSE II A - Não Inerse</vt:lpstr>
      <vt:lpstr>CLASSE II B - Inerse</vt:lpstr>
      <vt:lpstr>Referências Classificação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Santhiago Souza</cp:lastModifiedBy>
  <dcterms:created xsi:type="dcterms:W3CDTF">2026-05-27T15:33:48Z</dcterms:created>
  <dcterms:modified xsi:type="dcterms:W3CDTF">2026-06-09T22:23:51Z</dcterms:modified>
</cp:coreProperties>
</file>